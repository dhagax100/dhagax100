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nstants" sheetId="2" state="visible" r:id="rId4"/>
    <sheet name="Run Matrix (Inputs)" sheetId="3" state="visible" r:id="rId5"/>
    <sheet name="Mesh Outputs" sheetId="4" state="visible" r:id="rId6"/>
    <sheet name="Fluid Properties" sheetId="5" state="visible" r:id="rId7"/>
    <sheet name="Fluent Raw Results" sheetId="6" state="visible" r:id="rId8"/>
    <sheet name="Computed Resul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<sst xmlns="http://schemas.openxmlformats.org/spreadsheetml/2006/main" count="263" uniqueCount="160">
  <si>
    <t xml:space="preserve">PTSC 27-Run Master Results Workbook</t>
  </si>
  <si>
    <t xml:space="preserve">Purpose: one workbook tracking every one of the 27 Taguchi production runs, plus the</t>
  </si>
  <si>
    <t xml:space="preserve">Baseline reference run (smooth tube, plain Syltherm 800, same Re/Tin), from geometry</t>
  </si>
  <si>
    <t xml:space="preserve">and mesh inputs through to final performance results.</t>
  </si>
  <si>
    <t xml:space="preserve">Adopted mesh (locked, per mesh-independence study): 2.96 mm global element size,</t>
  </si>
  <si>
    <t xml:space="preserve">same inflation settings used throughout mesh-validation. See thesis/mesh-validation/gci_mesh_plan.md.</t>
  </si>
  <si>
    <t xml:space="preserve">Fixed conditions for all 27 runs + Baseline: Re = 10,000, Tin = 500 K, Tube length = 2000 mm (2 m),</t>
  </si>
  <si>
    <t xml:space="preserve">dti = 66 mm, dto = 70 mm. See thesis/notes/decision_log.md for how these were decided.</t>
  </si>
  <si>
    <t xml:space="preserve">Sheet guide:</t>
  </si>
  <si>
    <t xml:space="preserve">  1. Run Matrix (Inputs) -- geometry, nanofluid, concentration, Re/Tin. Fully pre-filled, locked.</t>
  </si>
  <si>
    <t xml:space="preserve">  2. Mesh Outputs -- element size, element/node count, quality metrics. Fill in as each mesh is generated.</t>
  </si>
  <si>
    <t xml:space="preserve">  3. Fluid Properties (computed) -- hybrid nanofluid rho/Cp/k/mu, computed from mixing-rule formulas.</t>
  </si>
  <si>
    <t xml:space="preserve">     Al2O3-MWCNT and Ag-MgO rows will show blank/error until their nanoparticle properties are</t>
  </si>
  <si>
    <t xml:space="preserve">     sourced (open item -- see decision_log.md). Fe2O3-GO and Baseline rows compute now.</t>
  </si>
  <si>
    <t xml:space="preserve">  4. Fluent Raw Results -- type Fluent Report Definition output values into yellow cells only.</t>
  </si>
  <si>
    <t xml:space="preserve">  5. Computed Results -- Nu, f, dP, eta_th, eta_ex, PEC, Ns, mass balance check. Formulas, do not edit.</t>
  </si>
  <si>
    <t xml:space="preserve">IMPORTANT -- still-open blockers before this workbook is fully usable:</t>
  </si>
  <si>
    <t xml:space="preserve">  - Syltherm 800 base-fluid properties at Tin=500K: placeholder cells on 'Fluid Properties' sheet</t>
  </si>
  <si>
    <t xml:space="preserve">    (yellow, row 'Baseline'). Fill in from Fluent's Material panel once Syltherm 800 is set up in</t>
  </si>
  <si>
    <t xml:space="preserve">    Fluent Setup (read off rho/Cp/k/mu at 500K), or from the Dow datasheet once you have it.</t>
  </si>
  <si>
    <t xml:space="preserve">  - Al2O3, MWCNT, Ag, MgO nanoparticle properties (rho, Cp): not yet sourced. See 'Nanoparticle</t>
  </si>
  <si>
    <t xml:space="preserve">    Properties' block on the Constants sheet -- fill in once found, the formulas pick them up automatically.</t>
  </si>
  <si>
    <t xml:space="preserve">  - S_gen (entropy generation), Be (Bejan number), and Swirl Number are NOT simple formulas -- they</t>
  </si>
  <si>
    <t xml:space="preserve">    need a Custom Field Function in Fluent first, then a Volume/Surface Integral Report Definition.</t>
  </si>
  <si>
    <t xml:space="preserve">    Raw extracted values go in 'Fluent Raw Results'; Be and Ns are then computed automatically.</t>
  </si>
  <si>
    <t xml:space="preserve">Mass flow rate convention: Fluent reports outlet mass flow as NEGATIVE (outward-normal convention).</t>
  </si>
  <si>
    <t xml:space="preserve">Always type the POSITIVE magnitude into mdot_out, or the mass-balance-error formula breaks.</t>
  </si>
  <si>
    <t xml:space="preserve">Constants &amp; Property Reference</t>
  </si>
  <si>
    <t xml:space="preserve">Fixed geometry / operating conditions</t>
  </si>
  <si>
    <t xml:space="preserve">d_ri</t>
  </si>
  <si>
    <t xml:space="preserve">Absorber tube inner diameter</t>
  </si>
  <si>
    <t xml:space="preserve">m</t>
  </si>
  <si>
    <t xml:space="preserve">d_ro</t>
  </si>
  <si>
    <t xml:space="preserve">Absorber tube outer diameter</t>
  </si>
  <si>
    <t xml:space="preserve">L_tube</t>
  </si>
  <si>
    <t xml:space="preserve">Tube length (2 m, this study's length decision)</t>
  </si>
  <si>
    <t xml:space="preserve">Re_target</t>
  </si>
  <si>
    <t xml:space="preserve">Fixed Reynolds number, all 27 runs + baseline</t>
  </si>
  <si>
    <t xml:space="preserve">-</t>
  </si>
  <si>
    <t xml:space="preserve">T_in</t>
  </si>
  <si>
    <t xml:space="preserve">Fixed inlet temperature, all 27 runs + baseline</t>
  </si>
  <si>
    <t xml:space="preserve">K</t>
  </si>
  <si>
    <t xml:space="preserve">A_a</t>
  </si>
  <si>
    <t xml:space="preserve">Collector aperture area (LS-2)</t>
  </si>
  <si>
    <t xml:space="preserve">m^2</t>
  </si>
  <si>
    <t xml:space="preserve">I_b</t>
  </si>
  <si>
    <t xml:space="preserve">Direct normal irradiance (DNI)</t>
  </si>
  <si>
    <t xml:space="preserve">W/m^2</t>
  </si>
  <si>
    <t xml:space="preserve">T_amb</t>
  </si>
  <si>
    <t xml:space="preserve">Ambient temperature</t>
  </si>
  <si>
    <t xml:space="preserve">T_s</t>
  </si>
  <si>
    <t xml:space="preserve">Apparent sun temperature</t>
  </si>
  <si>
    <t xml:space="preserve">eta_el</t>
  </si>
  <si>
    <t xml:space="preserve">Mechanical-to-electrical pump efficiency factor</t>
  </si>
  <si>
    <t xml:space="preserve">Brick-shape nanofluid mixing coefficients (CORRECTED from the real Mohammed et al. 2022 paper's own Table 7/8 -- see decision_log.md)</t>
  </si>
  <si>
    <t xml:space="preserve">Ck</t>
  </si>
  <si>
    <t xml:space="preserve">Thermal conductivity shape coefficient (bricks)</t>
  </si>
  <si>
    <t xml:space="preserve">a_visc</t>
  </si>
  <si>
    <t xml:space="preserve">Viscosity morphology constant a (bricks)</t>
  </si>
  <si>
    <t xml:space="preserve">b_visc</t>
  </si>
  <si>
    <t xml:space="preserve">Viscosity morphology constant b (bricks)</t>
  </si>
  <si>
    <t xml:space="preserve">Syltherm 800 base fluid properties AT Tin=500K -- PLACEHOLDER, fill in yellow cells</t>
  </si>
  <si>
    <t xml:space="preserve">NOT YET CONFIRMED -- Table 6 values from Mohammed et al. 2022 are reference/room-temp values, NOT necessarily at 500K. Read the real values off Fluent's Material panel once Syltherm 800 is entered with its temperature-dependent polynomial (Fluent Setup step), or from the Dow datasheet once available. Using the room-temp reference numbers below as placeholders only -- replace before trusting any Nu/f/eta result.</t>
  </si>
  <si>
    <t xml:space="preserve">rho_bf</t>
  </si>
  <si>
    <t xml:space="preserve">Syltherm 800 density at Tin</t>
  </si>
  <si>
    <t xml:space="preserve">kg/m^3</t>
  </si>
  <si>
    <t xml:space="preserve">Cp_bf</t>
  </si>
  <si>
    <t xml:space="preserve">Syltherm 800 specific heat at Tin</t>
  </si>
  <si>
    <t xml:space="preserve">J/kg.K</t>
  </si>
  <si>
    <t xml:space="preserve">k_bf</t>
  </si>
  <si>
    <t xml:space="preserve">Syltherm 800 thermal conductivity at Tin</t>
  </si>
  <si>
    <t xml:space="preserve">W/m.K</t>
  </si>
  <si>
    <t xml:space="preserve">mu_bf</t>
  </si>
  <si>
    <t xml:space="preserve">Syltherm 800 viscosity at Tin</t>
  </si>
  <si>
    <t xml:space="preserve">Pa.s</t>
  </si>
  <si>
    <t xml:space="preserve">Nanoparticle properties (fill in Al2O3, MWCNT, Ag, MgO rows once sourced -- open item, decision_log.md)</t>
  </si>
  <si>
    <t xml:space="preserve">Particle</t>
  </si>
  <si>
    <t xml:space="preserve">Density rho_p (kg/m3)</t>
  </si>
  <si>
    <t xml:space="preserve">Specific heat Cp_p (J/kg.K)</t>
  </si>
  <si>
    <t xml:space="preserve">Source</t>
  </si>
  <si>
    <t xml:space="preserve">Fe2O3</t>
  </si>
  <si>
    <t xml:space="preserve">Mohammed et al. 2022 Table 6 (real paper, verified)</t>
  </si>
  <si>
    <t xml:space="preserve">GO</t>
  </si>
  <si>
    <t xml:space="preserve">Al2O3</t>
  </si>
  <si>
    <t xml:space="preserve">NOT YET SOURCED</t>
  </si>
  <si>
    <t xml:space="preserve">MWCNT</t>
  </si>
  <si>
    <t xml:space="preserve">Ag</t>
  </si>
  <si>
    <t xml:space="preserve">MgO</t>
  </si>
  <si>
    <t xml:space="preserve">Run</t>
  </si>
  <si>
    <t xml:space="preserve">A (Pt/dti)</t>
  </si>
  <si>
    <t xml:space="preserve">B (dpo/dti)</t>
  </si>
  <si>
    <t xml:space="preserve">C (tp/dpo)</t>
  </si>
  <si>
    <t xml:space="preserve">Nanofluid</t>
  </si>
  <si>
    <t xml:space="preserve">Particle1</t>
  </si>
  <si>
    <t xml:space="preserve">Particle2</t>
  </si>
  <si>
    <t xml:space="preserve">phi (%)</t>
  </si>
  <si>
    <t xml:space="preserve">Pt (mm)</t>
  </si>
  <si>
    <t xml:space="preserve">dpo (mm)</t>
  </si>
  <si>
    <t xml:space="preserve">tp (mm)</t>
  </si>
  <si>
    <t xml:space="preserve">dpi (mm)</t>
  </si>
  <si>
    <t xml:space="preserve">Tube length (mm)</t>
  </si>
  <si>
    <t xml:space="preserve">Re</t>
  </si>
  <si>
    <t xml:space="preserve">Tin (K)</t>
  </si>
  <si>
    <t xml:space="preserve">Baseline</t>
  </si>
  <si>
    <t xml:space="preserve">Syltherm 800 (no nanoparticles, smooth tube)</t>
  </si>
  <si>
    <t xml:space="preserve">Fe2O3-GO</t>
  </si>
  <si>
    <t xml:space="preserve">Al2O3-MWCNT</t>
  </si>
  <si>
    <t xml:space="preserve">Ag-MgO</t>
  </si>
  <si>
    <t xml:space="preserve">Element size (mm)</t>
  </si>
  <si>
    <t xml:space="preserve">Elements</t>
  </si>
  <si>
    <t xml:space="preserve">Nodes</t>
  </si>
  <si>
    <t xml:space="preserve">Max Skewness</t>
  </si>
  <si>
    <t xml:space="preserve">Min Orthogonal Quality</t>
  </si>
  <si>
    <t xml:space="preserve">Notes</t>
  </si>
  <si>
    <t xml:space="preserve">Element size matches adopted Mesh 3 (2.96mm). Skewness/orthogonal quality land in the same range as the mesh-independence study (~0.85 / ~0.015) -- confirms the smaller promoter (dpo=15mm) did not degrade mesh quality despite the narrower core passage.</t>
  </si>
  <si>
    <t xml:space="preserve">Min Orthogonal Quality right at the 0.01 edge (barely clears) - watch item for larger-promoter runs.</t>
  </si>
  <si>
    <t xml:space="preserve">INVALID - Min Orthogonal Quality 0.0096914 below 0.01 threshold (Max Aspect Ratio 959.99, near ANSYS failure limit 1000). Solution diverged. Needs finer local mesh in tight annulus region (dpo=35mm, tightest gap of any run tested) before re-running.</t>
  </si>
  <si>
    <t xml:space="preserve">Clean mesh, well above 0.01 quality target.</t>
  </si>
  <si>
    <t xml:space="preserve">INVALID - same failure as Run 8: Min Orthogonal Quality 0.0092812, below 0.01 threshold. Solution diverged (T_wall=4925K, p_in~2.7e35). CONFIRMED PATTERN: Run 8 and Run 16 both use dpo=35mm (largest promoter, tightest annulus, ~15.5mm gap) - this geometry level needs finer local mesh before re-running. Run 27 (also dpo=35mm) is at high risk of the same failure.</t>
  </si>
  <si>
    <t xml:space="preserve">phi1 (=phi2, even-split assumption)</t>
  </si>
  <si>
    <t xml:space="preserve">rho_p1</t>
  </si>
  <si>
    <t xml:space="preserve">Cp_p1</t>
  </si>
  <si>
    <t xml:space="preserve">rho_p2</t>
  </si>
  <si>
    <t xml:space="preserve">Cp_p2</t>
  </si>
  <si>
    <t xml:space="preserve">rho_hnf (kg/m3)</t>
  </si>
  <si>
    <t xml:space="preserve">Cp_hnf (J/kg.K)</t>
  </si>
  <si>
    <t xml:space="preserve">k_hnf (W/m.K)</t>
  </si>
  <si>
    <t xml:space="preserve">mu_hnf (Pa.s)</t>
  </si>
  <si>
    <t xml:space="preserve">mdot_in (kg/s)</t>
  </si>
  <si>
    <t xml:space="preserve">mdot_out (kg/s)</t>
  </si>
  <si>
    <t xml:space="preserve">p_in (Pa)</t>
  </si>
  <si>
    <t xml:space="preserve">p_out (Pa)</t>
  </si>
  <si>
    <t xml:space="preserve">T_in (K)</t>
  </si>
  <si>
    <t xml:space="preserve">T_out (K)</t>
  </si>
  <si>
    <t xml:space="preserve">T_wall (K)</t>
  </si>
  <si>
    <t xml:space="preserve">tau_w (Pa)</t>
  </si>
  <si>
    <t xml:space="preserve">q_flux_avg (W/m2)</t>
  </si>
  <si>
    <t xml:space="preserve">Q_dot_total (W)</t>
  </si>
  <si>
    <t xml:space="preserve">y+_avg</t>
  </si>
  <si>
    <t xml:space="preserve">y+_max</t>
  </si>
  <si>
    <t xml:space="preserve">S_gen_total (W/K)</t>
  </si>
  <si>
    <t xml:space="preserve">S_gen_H (W/K)</t>
  </si>
  <si>
    <t xml:space="preserve">Swirl number</t>
  </si>
  <si>
    <t xml:space="preserve">A_total (m2)</t>
  </si>
  <si>
    <t xml:space="preserve">u_m (m/s)</t>
  </si>
  <si>
    <t xml:space="preserve">Re_check</t>
  </si>
  <si>
    <t xml:space="preserve">T_b (K)</t>
  </si>
  <si>
    <t xml:space="preserve">dP (Pa)</t>
  </si>
  <si>
    <t xml:space="preserve">f</t>
  </si>
  <si>
    <t xml:space="preserve">h (W/m2K)</t>
  </si>
  <si>
    <t xml:space="preserve">Nu</t>
  </si>
  <si>
    <t xml:space="preserve">Q_u (W)</t>
  </si>
  <si>
    <t xml:space="preserve">P_p (W)</t>
  </si>
  <si>
    <t xml:space="preserve">eta_th</t>
  </si>
  <si>
    <t xml:space="preserve">eta_ex</t>
  </si>
  <si>
    <t xml:space="preserve">PEC</t>
  </si>
  <si>
    <t xml:space="preserve">Be</t>
  </si>
  <si>
    <t xml:space="preserve">Ns</t>
  </si>
  <si>
    <t xml:space="preserve">Mass balance err (%)</t>
  </si>
  <si>
    <t xml:space="preserve">—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</si>
</sst>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FFC7CE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1" t="s">
        <v>1</v>
      </c>
    </row>
    <row r="4" customFormat="false" ht="15" hidden="false" customHeight="true" outlineLevel="0" collapsed="false">
      <c r="A4" s="1" t="s">
        <v>2</v>
      </c>
    </row>
    <row r="5" customFormat="false" ht="15" hidden="false" customHeight="true" outlineLevel="0" collapsed="false">
      <c r="A5" s="1" t="s">
        <v>3</v>
      </c>
    </row>
    <row r="7" customFormat="false" ht="15" hidden="false" customHeight="true" outlineLevel="0" collapsed="false">
      <c r="A7" s="1" t="s">
        <v>4</v>
      </c>
    </row>
    <row r="8" customFormat="false" ht="15" hidden="false" customHeight="true" outlineLevel="0" collapsed="false">
      <c r="A8" s="1" t="s">
        <v>5</v>
      </c>
    </row>
    <row r="9" customFormat="false" ht="15" hidden="false" customHeight="true" outlineLevel="0" collapsed="false">
      <c r="A9" s="1" t="s">
        <v>6</v>
      </c>
    </row>
    <row r="10" customFormat="false" ht="15" hidden="false" customHeight="true" outlineLevel="0" collapsed="false">
      <c r="A10" s="1" t="s">
        <v>7</v>
      </c>
    </row>
    <row r="12" customFormat="false" ht="15" hidden="false" customHeight="true" outlineLevel="0" collapsed="false">
      <c r="A12" s="3" t="s">
        <v>8</v>
      </c>
    </row>
    <row r="13" customFormat="false" ht="15" hidden="false" customHeight="true" outlineLevel="0" collapsed="false">
      <c r="A13" s="1" t="s">
        <v>9</v>
      </c>
    </row>
    <row r="14" customFormat="false" ht="15" hidden="false" customHeight="true" outlineLevel="0" collapsed="false">
      <c r="A14" s="1" t="s">
        <v>10</v>
      </c>
    </row>
    <row r="15" customFormat="false" ht="15" hidden="false" customHeight="true" outlineLevel="0" collapsed="false">
      <c r="A15" s="1" t="s">
        <v>11</v>
      </c>
    </row>
    <row r="16" customFormat="false" ht="15" hidden="false" customHeight="true" outlineLevel="0" collapsed="false">
      <c r="A16" s="1" t="s">
        <v>12</v>
      </c>
    </row>
    <row r="17" customFormat="false" ht="15" hidden="false" customHeight="true" outlineLevel="0" collapsed="false">
      <c r="A17" s="1" t="s">
        <v>13</v>
      </c>
    </row>
    <row r="18" customFormat="false" ht="15" hidden="false" customHeight="true" outlineLevel="0" collapsed="false">
      <c r="A18" s="1" t="s">
        <v>14</v>
      </c>
    </row>
    <row r="19" customFormat="false" ht="15" hidden="false" customHeight="true" outlineLevel="0" collapsed="false">
      <c r="A19" s="1" t="s">
        <v>15</v>
      </c>
    </row>
    <row r="21" customFormat="false" ht="15" hidden="false" customHeight="true" outlineLevel="0" collapsed="false">
      <c r="A21" s="3" t="s">
        <v>16</v>
      </c>
    </row>
    <row r="22" customFormat="false" ht="15" hidden="false" customHeight="true" outlineLevel="0" collapsed="false">
      <c r="A22" s="1" t="s">
        <v>17</v>
      </c>
    </row>
    <row r="23" customFormat="false" ht="15" hidden="false" customHeight="true" outlineLevel="0" collapsed="false">
      <c r="A23" s="1" t="s">
        <v>18</v>
      </c>
    </row>
    <row r="24" customFormat="false" ht="15" hidden="false" customHeight="true" outlineLevel="0" collapsed="false">
      <c r="A24" s="1" t="s">
        <v>19</v>
      </c>
    </row>
    <row r="25" customFormat="false" ht="15" hidden="false" customHeight="true" outlineLevel="0" collapsed="false">
      <c r="A25" s="1" t="s">
        <v>20</v>
      </c>
    </row>
    <row r="26" customFormat="false" ht="15" hidden="false" customHeight="true" outlineLevel="0" collapsed="false">
      <c r="A26" s="1" t="s">
        <v>21</v>
      </c>
    </row>
    <row r="27" customFormat="false" ht="15" hidden="false" customHeight="true" outlineLevel="0" collapsed="false">
      <c r="A27" s="1" t="s">
        <v>22</v>
      </c>
    </row>
    <row r="28" customFormat="false" ht="15" hidden="false" customHeight="true" outlineLevel="0" collapsed="false">
      <c r="A28" s="1" t="s">
        <v>23</v>
      </c>
    </row>
    <row r="29" customFormat="false" ht="15" hidden="false" customHeight="true" outlineLevel="0" collapsed="false">
      <c r="A29" s="1" t="s">
        <v>24</v>
      </c>
    </row>
    <row r="31" customFormat="false" ht="15" hidden="false" customHeight="true" outlineLevel="0" collapsed="false">
      <c r="A31" s="1" t="s">
        <v>25</v>
      </c>
    </row>
    <row r="32" customFormat="false" ht="15" hidden="false" customHeight="true" outlineLevel="0" collapsed="false">
      <c r="A32" s="1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55"/>
  </cols>
  <sheetData>
    <row r="1" customFormat="false" ht="17.25" hidden="false" customHeight="true" outlineLevel="0" collapsed="false">
      <c r="A1" s="2" t="s">
        <v>27</v>
      </c>
    </row>
    <row r="3" customFormat="false" ht="15" hidden="false" customHeight="true" outlineLevel="0" collapsed="false">
      <c r="A3" s="3" t="s">
        <v>28</v>
      </c>
    </row>
    <row r="4" customFormat="false" ht="15" hidden="false" customHeight="true" outlineLevel="0" collapsed="false">
      <c r="A4" s="1" t="s">
        <v>29</v>
      </c>
      <c r="B4" s="1" t="s">
        <v>30</v>
      </c>
      <c r="C4" s="1" t="n">
        <v>0.066</v>
      </c>
      <c r="D4" s="1" t="s">
        <v>31</v>
      </c>
    </row>
    <row r="5" customFormat="false" ht="15" hidden="false" customHeight="true" outlineLevel="0" collapsed="false">
      <c r="A5" s="1" t="s">
        <v>32</v>
      </c>
      <c r="B5" s="1" t="s">
        <v>33</v>
      </c>
      <c r="C5" s="1" t="n">
        <v>0.07</v>
      </c>
      <c r="D5" s="1" t="s">
        <v>31</v>
      </c>
    </row>
    <row r="6" customFormat="false" ht="15" hidden="false" customHeight="true" outlineLevel="0" collapsed="false">
      <c r="A6" s="1" t="s">
        <v>34</v>
      </c>
      <c r="B6" s="1" t="s">
        <v>35</v>
      </c>
      <c r="C6" s="1" t="n">
        <v>2</v>
      </c>
      <c r="D6" s="1" t="s">
        <v>31</v>
      </c>
    </row>
    <row r="7" customFormat="false" ht="15" hidden="false" customHeight="true" outlineLevel="0" collapsed="false">
      <c r="A7" s="1" t="s">
        <v>36</v>
      </c>
      <c r="B7" s="1" t="s">
        <v>37</v>
      </c>
      <c r="C7" s="1" t="n">
        <v>10000</v>
      </c>
      <c r="D7" s="1" t="s">
        <v>38</v>
      </c>
    </row>
    <row r="8" customFormat="false" ht="15" hidden="false" customHeight="true" outlineLevel="0" collapsed="false">
      <c r="A8" s="1" t="s">
        <v>39</v>
      </c>
      <c r="B8" s="1" t="s">
        <v>40</v>
      </c>
      <c r="C8" s="1" t="n">
        <v>500</v>
      </c>
      <c r="D8" s="1" t="s">
        <v>41</v>
      </c>
    </row>
    <row r="9" customFormat="false" ht="15" hidden="false" customHeight="true" outlineLevel="0" collapsed="false">
      <c r="A9" s="1" t="s">
        <v>42</v>
      </c>
      <c r="B9" s="1" t="s">
        <v>43</v>
      </c>
      <c r="C9" s="1" t="n">
        <v>39.2</v>
      </c>
      <c r="D9" s="1" t="s">
        <v>44</v>
      </c>
    </row>
    <row r="10" customFormat="false" ht="15" hidden="false" customHeight="true" outlineLevel="0" collapsed="false">
      <c r="A10" s="1" t="s">
        <v>45</v>
      </c>
      <c r="B10" s="1" t="s">
        <v>46</v>
      </c>
      <c r="C10" s="1" t="n">
        <v>1000</v>
      </c>
      <c r="D10" s="1" t="s">
        <v>47</v>
      </c>
    </row>
    <row r="11" customFormat="false" ht="15" hidden="false" customHeight="true" outlineLevel="0" collapsed="false">
      <c r="A11" s="1" t="s">
        <v>48</v>
      </c>
      <c r="B11" s="1" t="s">
        <v>49</v>
      </c>
      <c r="C11" s="1" t="n">
        <v>300</v>
      </c>
      <c r="D11" s="1" t="s">
        <v>41</v>
      </c>
    </row>
    <row r="12" customFormat="false" ht="15" hidden="false" customHeight="true" outlineLevel="0" collapsed="false">
      <c r="A12" s="1" t="s">
        <v>50</v>
      </c>
      <c r="B12" s="1" t="s">
        <v>51</v>
      </c>
      <c r="C12" s="1" t="n">
        <v>5800</v>
      </c>
      <c r="D12" s="1" t="s">
        <v>41</v>
      </c>
    </row>
    <row r="13" customFormat="false" ht="15" hidden="false" customHeight="true" outlineLevel="0" collapsed="false">
      <c r="A13" s="1" t="s">
        <v>52</v>
      </c>
      <c r="B13" s="1" t="s">
        <v>53</v>
      </c>
      <c r="C13" s="1" t="n">
        <v>0.3</v>
      </c>
      <c r="D13" s="1" t="s">
        <v>38</v>
      </c>
    </row>
    <row r="15" customFormat="false" ht="15" hidden="false" customHeight="true" outlineLevel="0" collapsed="false">
      <c r="A15" s="3" t="s">
        <v>54</v>
      </c>
    </row>
    <row r="16" customFormat="false" ht="15" hidden="false" customHeight="true" outlineLevel="0" collapsed="false">
      <c r="A16" s="1" t="s">
        <v>55</v>
      </c>
      <c r="B16" s="1" t="s">
        <v>56</v>
      </c>
      <c r="C16" s="1" t="n">
        <v>3.37</v>
      </c>
      <c r="D16" s="1" t="s">
        <v>38</v>
      </c>
    </row>
    <row r="17" customFormat="false" ht="15" hidden="false" customHeight="true" outlineLevel="0" collapsed="false">
      <c r="A17" s="1" t="s">
        <v>57</v>
      </c>
      <c r="B17" s="1" t="s">
        <v>58</v>
      </c>
      <c r="C17" s="1" t="n">
        <v>1.9</v>
      </c>
      <c r="D17" s="1" t="s">
        <v>38</v>
      </c>
    </row>
    <row r="18" customFormat="false" ht="15" hidden="false" customHeight="true" outlineLevel="0" collapsed="false">
      <c r="A18" s="1" t="s">
        <v>59</v>
      </c>
      <c r="B18" s="1" t="s">
        <v>60</v>
      </c>
      <c r="C18" s="1" t="n">
        <v>471.4</v>
      </c>
      <c r="D18" s="1" t="s">
        <v>38</v>
      </c>
    </row>
    <row r="20" customFormat="false" ht="15" hidden="false" customHeight="true" outlineLevel="0" collapsed="false">
      <c r="A20" s="3" t="s">
        <v>61</v>
      </c>
    </row>
    <row r="21" customFormat="false" ht="15" hidden="false" customHeight="true" outlineLevel="0" collapsed="false">
      <c r="E21" s="1" t="s">
        <v>62</v>
      </c>
    </row>
    <row r="22" customFormat="false" ht="15" hidden="false" customHeight="true" outlineLevel="0" collapsed="false">
      <c r="A22" s="1" t="s">
        <v>63</v>
      </c>
      <c r="B22" s="1" t="s">
        <v>64</v>
      </c>
      <c r="C22" s="4" t="n">
        <v>747.2</v>
      </c>
      <c r="D22" s="1" t="s">
        <v>65</v>
      </c>
    </row>
    <row r="23" customFormat="false" ht="15" hidden="false" customHeight="true" outlineLevel="0" collapsed="false">
      <c r="A23" s="1" t="s">
        <v>66</v>
      </c>
      <c r="B23" s="1" t="s">
        <v>67</v>
      </c>
      <c r="C23" s="4" t="n">
        <v>1962</v>
      </c>
      <c r="D23" s="1" t="s">
        <v>68</v>
      </c>
    </row>
    <row r="24" customFormat="false" ht="15" hidden="false" customHeight="true" outlineLevel="0" collapsed="false">
      <c r="A24" s="1" t="s">
        <v>69</v>
      </c>
      <c r="B24" s="1" t="s">
        <v>70</v>
      </c>
      <c r="C24" s="4" t="n">
        <v>0.0961</v>
      </c>
      <c r="D24" s="1" t="s">
        <v>71</v>
      </c>
    </row>
    <row r="25" customFormat="false" ht="15" hidden="false" customHeight="true" outlineLevel="0" collapsed="false">
      <c r="A25" s="1" t="s">
        <v>72</v>
      </c>
      <c r="B25" s="1" t="s">
        <v>73</v>
      </c>
      <c r="C25" s="4" t="n">
        <v>0.00084</v>
      </c>
      <c r="D25" s="1" t="s">
        <v>74</v>
      </c>
    </row>
    <row r="27" customFormat="false" ht="15" hidden="false" customHeight="true" outlineLevel="0" collapsed="false">
      <c r="A27" s="3" t="s">
        <v>75</v>
      </c>
    </row>
    <row r="28" customFormat="false" ht="15" hidden="false" customHeight="true" outlineLevel="0" collapsed="false">
      <c r="A28" s="1" t="s">
        <v>76</v>
      </c>
      <c r="B28" s="1" t="s">
        <v>77</v>
      </c>
      <c r="C28" s="1" t="s">
        <v>78</v>
      </c>
      <c r="D28" s="1" t="s">
        <v>79</v>
      </c>
    </row>
    <row r="29" customFormat="false" ht="15" hidden="false" customHeight="true" outlineLevel="0" collapsed="false">
      <c r="A29" s="1" t="s">
        <v>80</v>
      </c>
      <c r="B29" s="1" t="n">
        <v>5180</v>
      </c>
      <c r="C29" s="1" t="n">
        <v>670</v>
      </c>
      <c r="D29" s="1" t="s">
        <v>81</v>
      </c>
    </row>
    <row r="30" customFormat="false" ht="15" hidden="false" customHeight="true" outlineLevel="0" collapsed="false">
      <c r="A30" s="1" t="s">
        <v>82</v>
      </c>
      <c r="B30" s="1" t="n">
        <v>1800</v>
      </c>
      <c r="C30" s="1" t="n">
        <v>717</v>
      </c>
      <c r="D30" s="1" t="s">
        <v>81</v>
      </c>
    </row>
    <row r="31" customFormat="false" ht="15" hidden="false" customHeight="true" outlineLevel="0" collapsed="false">
      <c r="A31" s="1" t="s">
        <v>83</v>
      </c>
      <c r="B31" s="4"/>
      <c r="C31" s="4"/>
      <c r="D31" s="1" t="s">
        <v>84</v>
      </c>
    </row>
    <row r="32" customFormat="false" ht="15" hidden="false" customHeight="true" outlineLevel="0" collapsed="false">
      <c r="A32" s="1" t="s">
        <v>85</v>
      </c>
      <c r="B32" s="4"/>
      <c r="C32" s="4"/>
      <c r="D32" s="1" t="s">
        <v>84</v>
      </c>
    </row>
    <row r="33" customFormat="false" ht="15" hidden="false" customHeight="true" outlineLevel="0" collapsed="false">
      <c r="A33" s="1" t="s">
        <v>86</v>
      </c>
      <c r="B33" s="4"/>
      <c r="C33" s="4"/>
      <c r="D33" s="1" t="s">
        <v>84</v>
      </c>
    </row>
    <row r="34" customFormat="false" ht="15" hidden="false" customHeight="true" outlineLevel="0" collapsed="false">
      <c r="A34" s="1" t="s">
        <v>87</v>
      </c>
      <c r="B34" s="4"/>
      <c r="C34" s="4"/>
      <c r="D34" s="1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4" min="2" style="1" width="11"/>
    <col collapsed="false" customWidth="true" hidden="false" outlineLevel="0" max="5" min="5" style="1" width="14"/>
    <col collapsed="false" customWidth="true" hidden="false" outlineLevel="0" max="7" min="6" style="1" width="10"/>
    <col collapsed="false" customWidth="true" hidden="false" outlineLevel="0" max="10" min="8" style="1" width="9"/>
    <col collapsed="false" customWidth="true" hidden="false" outlineLevel="0" max="11" min="11" style="1" width="8"/>
    <col collapsed="false" customWidth="true" hidden="false" outlineLevel="0" max="12" min="12" style="1" width="9"/>
    <col collapsed="false" customWidth="true" hidden="false" outlineLevel="0" max="13" min="13" style="1" width="15"/>
    <col collapsed="false" customWidth="true" hidden="false" outlineLevel="0" max="14" min="14" style="1" width="8"/>
    <col collapsed="false" customWidth="true" hidden="false" outlineLevel="0" max="15" min="15" style="1" width="9"/>
  </cols>
  <sheetData>
    <row r="1" customFormat="false" ht="15" hidden="false" customHeight="true" outlineLevel="0" collapsed="false">
      <c r="A1" s="3" t="s">
        <v>88</v>
      </c>
      <c r="B1" s="3" t="s">
        <v>89</v>
      </c>
      <c r="C1" s="3" t="s">
        <v>90</v>
      </c>
      <c r="D1" s="3" t="s">
        <v>91</v>
      </c>
      <c r="E1" s="3" t="s">
        <v>92</v>
      </c>
      <c r="F1" s="3" t="s">
        <v>93</v>
      </c>
      <c r="G1" s="3" t="s">
        <v>94</v>
      </c>
      <c r="H1" s="3" t="s">
        <v>95</v>
      </c>
      <c r="I1" s="3" t="s">
        <v>96</v>
      </c>
      <c r="J1" s="3" t="s">
        <v>97</v>
      </c>
      <c r="K1" s="3" t="s">
        <v>98</v>
      </c>
      <c r="L1" s="3" t="s">
        <v>99</v>
      </c>
      <c r="M1" s="3" t="s">
        <v>100</v>
      </c>
      <c r="N1" s="3" t="s">
        <v>101</v>
      </c>
      <c r="O1" s="3" t="s">
        <v>102</v>
      </c>
    </row>
    <row r="2" customFormat="false" ht="15" hidden="false" customHeight="true" outlineLevel="0" collapsed="false">
      <c r="A2" s="1" t="s">
        <v>103</v>
      </c>
      <c r="E2" s="1" t="s">
        <v>104</v>
      </c>
      <c r="H2" s="1" t="n">
        <v>0</v>
      </c>
      <c r="I2" s="1" t="s">
        <v>38</v>
      </c>
      <c r="J2" s="1" t="s">
        <v>38</v>
      </c>
      <c r="K2" s="1" t="s">
        <v>38</v>
      </c>
      <c r="L2" s="1" t="s">
        <v>38</v>
      </c>
      <c r="M2" s="1" t="n">
        <v>2000</v>
      </c>
      <c r="N2" s="1" t="n">
        <f aca="false">Constants!$C$7</f>
        <v>10000</v>
      </c>
      <c r="O2" s="1" t="n">
        <f aca="false">Constants!$C$8</f>
        <v>500</v>
      </c>
    </row>
    <row r="3" customFormat="false" ht="15" hidden="false" customHeight="true" outlineLevel="0" collapsed="false">
      <c r="A3" s="1" t="n">
        <v>1</v>
      </c>
      <c r="B3" s="1" t="n">
        <v>3.03</v>
      </c>
      <c r="C3" s="1" t="n">
        <v>0.23</v>
      </c>
      <c r="D3" s="1" t="n">
        <v>0.04</v>
      </c>
      <c r="E3" s="1" t="s">
        <v>105</v>
      </c>
      <c r="F3" s="1" t="s">
        <v>80</v>
      </c>
      <c r="G3" s="1" t="s">
        <v>82</v>
      </c>
      <c r="H3" s="1" t="n">
        <v>0.5</v>
      </c>
      <c r="I3" s="1" t="n">
        <v>200</v>
      </c>
      <c r="J3" s="1" t="n">
        <v>15</v>
      </c>
      <c r="K3" s="1" t="n">
        <v>0.6</v>
      </c>
      <c r="L3" s="1" t="n">
        <v>13.8</v>
      </c>
      <c r="M3" s="1" t="n">
        <v>2000</v>
      </c>
      <c r="N3" s="1" t="n">
        <f aca="false">Constants!$C$7</f>
        <v>10000</v>
      </c>
      <c r="O3" s="1" t="n">
        <f aca="false">Constants!$C$8</f>
        <v>500</v>
      </c>
    </row>
    <row r="4" customFormat="false" ht="15" hidden="false" customHeight="true" outlineLevel="0" collapsed="false">
      <c r="A4" s="1" t="n">
        <v>2</v>
      </c>
      <c r="B4" s="1" t="n">
        <v>3.03</v>
      </c>
      <c r="C4" s="1" t="n">
        <v>0.23</v>
      </c>
      <c r="D4" s="1" t="n">
        <v>0.08</v>
      </c>
      <c r="E4" s="1" t="s">
        <v>106</v>
      </c>
      <c r="F4" s="1" t="s">
        <v>83</v>
      </c>
      <c r="G4" s="1" t="s">
        <v>85</v>
      </c>
      <c r="H4" s="1" t="n">
        <v>1</v>
      </c>
      <c r="I4" s="1" t="n">
        <v>200</v>
      </c>
      <c r="J4" s="1" t="n">
        <v>15</v>
      </c>
      <c r="K4" s="1" t="n">
        <v>1.2</v>
      </c>
      <c r="L4" s="1" t="n">
        <v>12.6</v>
      </c>
      <c r="M4" s="1" t="n">
        <v>2000</v>
      </c>
      <c r="N4" s="1" t="n">
        <f aca="false">Constants!$C$7</f>
        <v>10000</v>
      </c>
      <c r="O4" s="1" t="n">
        <f aca="false">Constants!$C$8</f>
        <v>500</v>
      </c>
    </row>
    <row r="5" customFormat="false" ht="15" hidden="false" customHeight="true" outlineLevel="0" collapsed="false">
      <c r="A5" s="1" t="n">
        <v>3</v>
      </c>
      <c r="B5" s="1" t="n">
        <v>3.03</v>
      </c>
      <c r="C5" s="1" t="n">
        <v>0.23</v>
      </c>
      <c r="D5" s="1" t="n">
        <v>0.12</v>
      </c>
      <c r="E5" s="1" t="s">
        <v>107</v>
      </c>
      <c r="F5" s="1" t="s">
        <v>86</v>
      </c>
      <c r="G5" s="1" t="s">
        <v>87</v>
      </c>
      <c r="H5" s="1" t="n">
        <v>2</v>
      </c>
      <c r="I5" s="1" t="n">
        <v>200</v>
      </c>
      <c r="J5" s="1" t="n">
        <v>15</v>
      </c>
      <c r="K5" s="1" t="n">
        <v>1.8</v>
      </c>
      <c r="L5" s="1" t="n">
        <v>11.4</v>
      </c>
      <c r="M5" s="1" t="n">
        <v>2000</v>
      </c>
      <c r="N5" s="1" t="n">
        <f aca="false">Constants!$C$7</f>
        <v>10000</v>
      </c>
      <c r="O5" s="1" t="n">
        <f aca="false">Constants!$C$8</f>
        <v>500</v>
      </c>
    </row>
    <row r="6" customFormat="false" ht="15" hidden="false" customHeight="true" outlineLevel="0" collapsed="false">
      <c r="A6" s="1" t="n">
        <v>4</v>
      </c>
      <c r="B6" s="1" t="n">
        <v>3.03</v>
      </c>
      <c r="C6" s="1" t="n">
        <v>0.38</v>
      </c>
      <c r="D6" s="1" t="n">
        <v>0.04</v>
      </c>
      <c r="E6" s="1" t="s">
        <v>106</v>
      </c>
      <c r="F6" s="1" t="s">
        <v>83</v>
      </c>
      <c r="G6" s="1" t="s">
        <v>85</v>
      </c>
      <c r="H6" s="1" t="n">
        <v>2</v>
      </c>
      <c r="I6" s="1" t="n">
        <v>200</v>
      </c>
      <c r="J6" s="1" t="n">
        <v>25</v>
      </c>
      <c r="K6" s="1" t="n">
        <v>1</v>
      </c>
      <c r="L6" s="1" t="n">
        <v>23</v>
      </c>
      <c r="M6" s="1" t="n">
        <v>2000</v>
      </c>
      <c r="N6" s="1" t="n">
        <f aca="false">Constants!$C$7</f>
        <v>10000</v>
      </c>
      <c r="O6" s="1" t="n">
        <f aca="false">Constants!$C$8</f>
        <v>500</v>
      </c>
    </row>
    <row r="7" customFormat="false" ht="15" hidden="false" customHeight="true" outlineLevel="0" collapsed="false">
      <c r="A7" s="1" t="n">
        <v>5</v>
      </c>
      <c r="B7" s="1" t="n">
        <v>3.03</v>
      </c>
      <c r="C7" s="1" t="n">
        <v>0.38</v>
      </c>
      <c r="D7" s="1" t="n">
        <v>0.08</v>
      </c>
      <c r="E7" s="1" t="s">
        <v>107</v>
      </c>
      <c r="F7" s="1" t="s">
        <v>86</v>
      </c>
      <c r="G7" s="1" t="s">
        <v>87</v>
      </c>
      <c r="H7" s="1" t="n">
        <v>0.5</v>
      </c>
      <c r="I7" s="1" t="n">
        <v>200</v>
      </c>
      <c r="J7" s="1" t="n">
        <v>25</v>
      </c>
      <c r="K7" s="1" t="n">
        <v>2</v>
      </c>
      <c r="L7" s="1" t="n">
        <v>21</v>
      </c>
      <c r="M7" s="1" t="n">
        <v>2000</v>
      </c>
      <c r="N7" s="1" t="n">
        <f aca="false">Constants!$C$7</f>
        <v>10000</v>
      </c>
      <c r="O7" s="1" t="n">
        <f aca="false">Constants!$C$8</f>
        <v>500</v>
      </c>
    </row>
    <row r="8" customFormat="false" ht="15" hidden="false" customHeight="true" outlineLevel="0" collapsed="false">
      <c r="A8" s="1" t="n">
        <v>6</v>
      </c>
      <c r="B8" s="1" t="n">
        <v>3.03</v>
      </c>
      <c r="C8" s="1" t="n">
        <v>0.38</v>
      </c>
      <c r="D8" s="1" t="n">
        <v>0.12</v>
      </c>
      <c r="E8" s="1" t="s">
        <v>105</v>
      </c>
      <c r="F8" s="1" t="s">
        <v>80</v>
      </c>
      <c r="G8" s="1" t="s">
        <v>82</v>
      </c>
      <c r="H8" s="1" t="n">
        <v>1</v>
      </c>
      <c r="I8" s="1" t="n">
        <v>200</v>
      </c>
      <c r="J8" s="1" t="n">
        <v>25</v>
      </c>
      <c r="K8" s="1" t="n">
        <v>3</v>
      </c>
      <c r="L8" s="1" t="n">
        <v>19</v>
      </c>
      <c r="M8" s="1" t="n">
        <v>2000</v>
      </c>
      <c r="N8" s="1" t="n">
        <f aca="false">Constants!$C$7</f>
        <v>10000</v>
      </c>
      <c r="O8" s="1" t="n">
        <f aca="false">Constants!$C$8</f>
        <v>500</v>
      </c>
    </row>
    <row r="9" customFormat="false" ht="15" hidden="false" customHeight="true" outlineLevel="0" collapsed="false">
      <c r="A9" s="1" t="n">
        <v>7</v>
      </c>
      <c r="B9" s="1" t="n">
        <v>3.03</v>
      </c>
      <c r="C9" s="1" t="n">
        <v>0.53</v>
      </c>
      <c r="D9" s="1" t="n">
        <v>0.04</v>
      </c>
      <c r="E9" s="1" t="s">
        <v>107</v>
      </c>
      <c r="F9" s="1" t="s">
        <v>86</v>
      </c>
      <c r="G9" s="1" t="s">
        <v>87</v>
      </c>
      <c r="H9" s="1" t="n">
        <v>1</v>
      </c>
      <c r="I9" s="1" t="n">
        <v>200</v>
      </c>
      <c r="J9" s="1" t="n">
        <v>35</v>
      </c>
      <c r="K9" s="1" t="n">
        <v>1.4</v>
      </c>
      <c r="L9" s="1" t="n">
        <v>32.2</v>
      </c>
      <c r="M9" s="1" t="n">
        <v>2000</v>
      </c>
      <c r="N9" s="1" t="n">
        <f aca="false">Constants!$C$7</f>
        <v>10000</v>
      </c>
      <c r="O9" s="1" t="n">
        <f aca="false">Constants!$C$8</f>
        <v>500</v>
      </c>
    </row>
    <row r="10" customFormat="false" ht="15" hidden="false" customHeight="true" outlineLevel="0" collapsed="false">
      <c r="A10" s="5" t="n">
        <v>8</v>
      </c>
      <c r="B10" s="5" t="n">
        <v>3.03</v>
      </c>
      <c r="C10" s="5" t="n">
        <v>0.53</v>
      </c>
      <c r="D10" s="5" t="n">
        <v>0.08</v>
      </c>
      <c r="E10" s="5" t="s">
        <v>105</v>
      </c>
      <c r="F10" s="5" t="s">
        <v>80</v>
      </c>
      <c r="G10" s="5" t="s">
        <v>82</v>
      </c>
      <c r="H10" s="5" t="n">
        <v>2</v>
      </c>
      <c r="I10" s="5" t="n">
        <v>200</v>
      </c>
      <c r="J10" s="5" t="n">
        <v>35</v>
      </c>
      <c r="K10" s="5" t="n">
        <v>2.8</v>
      </c>
      <c r="L10" s="5" t="n">
        <v>29.4</v>
      </c>
      <c r="M10" s="5" t="n">
        <v>2000</v>
      </c>
      <c r="N10" s="5" t="n">
        <f aca="false">Constants!$C$7</f>
        <v>10000</v>
      </c>
      <c r="O10" s="5" t="n">
        <f aca="false">Constants!$C$8</f>
        <v>500</v>
      </c>
    </row>
    <row r="11" customFormat="false" ht="15" hidden="false" customHeight="true" outlineLevel="0" collapsed="false">
      <c r="A11" s="1" t="n">
        <v>9</v>
      </c>
      <c r="B11" s="1" t="n">
        <v>3.03</v>
      </c>
      <c r="C11" s="1" t="n">
        <v>0.53</v>
      </c>
      <c r="D11" s="1" t="n">
        <v>0.12</v>
      </c>
      <c r="E11" s="1" t="s">
        <v>106</v>
      </c>
      <c r="F11" s="1" t="s">
        <v>83</v>
      </c>
      <c r="G11" s="1" t="s">
        <v>85</v>
      </c>
      <c r="H11" s="1" t="n">
        <v>0.5</v>
      </c>
      <c r="I11" s="1" t="n">
        <v>200</v>
      </c>
      <c r="J11" s="1" t="n">
        <v>35</v>
      </c>
      <c r="K11" s="1" t="n">
        <v>4.2</v>
      </c>
      <c r="L11" s="1" t="n">
        <v>26.6</v>
      </c>
      <c r="M11" s="1" t="n">
        <v>2000</v>
      </c>
      <c r="N11" s="1" t="n">
        <f aca="false">Constants!$C$7</f>
        <v>10000</v>
      </c>
      <c r="O11" s="1" t="n">
        <f aca="false">Constants!$C$8</f>
        <v>500</v>
      </c>
    </row>
    <row r="12" customFormat="false" ht="15" hidden="false" customHeight="true" outlineLevel="0" collapsed="false">
      <c r="A12" s="1" t="n">
        <v>10</v>
      </c>
      <c r="B12" s="1" t="n">
        <v>4.55</v>
      </c>
      <c r="C12" s="1" t="n">
        <v>0.23</v>
      </c>
      <c r="D12" s="1" t="n">
        <v>0.04</v>
      </c>
      <c r="E12" s="1" t="s">
        <v>106</v>
      </c>
      <c r="F12" s="1" t="s">
        <v>83</v>
      </c>
      <c r="G12" s="1" t="s">
        <v>85</v>
      </c>
      <c r="H12" s="1" t="n">
        <v>1</v>
      </c>
      <c r="I12" s="1" t="n">
        <v>300</v>
      </c>
      <c r="J12" s="1" t="n">
        <v>15</v>
      </c>
      <c r="K12" s="1" t="n">
        <v>0.6</v>
      </c>
      <c r="L12" s="1" t="n">
        <v>13.8</v>
      </c>
      <c r="M12" s="1" t="n">
        <v>2000</v>
      </c>
      <c r="N12" s="1" t="n">
        <f aca="false">Constants!$C$7</f>
        <v>10000</v>
      </c>
      <c r="O12" s="1" t="n">
        <f aca="false">Constants!$C$8</f>
        <v>500</v>
      </c>
    </row>
    <row r="13" customFormat="false" ht="15" hidden="false" customHeight="true" outlineLevel="0" collapsed="false">
      <c r="A13" s="1" t="n">
        <v>11</v>
      </c>
      <c r="B13" s="1" t="n">
        <v>4.55</v>
      </c>
      <c r="C13" s="1" t="n">
        <v>0.23</v>
      </c>
      <c r="D13" s="1" t="n">
        <v>0.08</v>
      </c>
      <c r="E13" s="1" t="s">
        <v>107</v>
      </c>
      <c r="F13" s="1" t="s">
        <v>86</v>
      </c>
      <c r="G13" s="1" t="s">
        <v>87</v>
      </c>
      <c r="H13" s="1" t="n">
        <v>2</v>
      </c>
      <c r="I13" s="1" t="n">
        <v>300</v>
      </c>
      <c r="J13" s="1" t="n">
        <v>15</v>
      </c>
      <c r="K13" s="1" t="n">
        <v>1.2</v>
      </c>
      <c r="L13" s="1" t="n">
        <v>12.6</v>
      </c>
      <c r="M13" s="1" t="n">
        <v>2000</v>
      </c>
      <c r="N13" s="1" t="n">
        <f aca="false">Constants!$C$7</f>
        <v>10000</v>
      </c>
      <c r="O13" s="1" t="n">
        <f aca="false">Constants!$C$8</f>
        <v>500</v>
      </c>
    </row>
    <row r="14" customFormat="false" ht="15" hidden="false" customHeight="true" outlineLevel="0" collapsed="false">
      <c r="A14" s="1" t="n">
        <v>12</v>
      </c>
      <c r="B14" s="1" t="n">
        <v>4.55</v>
      </c>
      <c r="C14" s="1" t="n">
        <v>0.23</v>
      </c>
      <c r="D14" s="1" t="n">
        <v>0.12</v>
      </c>
      <c r="E14" s="1" t="s">
        <v>105</v>
      </c>
      <c r="F14" s="1" t="s">
        <v>80</v>
      </c>
      <c r="G14" s="1" t="s">
        <v>82</v>
      </c>
      <c r="H14" s="1" t="n">
        <v>0.5</v>
      </c>
      <c r="I14" s="1" t="n">
        <v>300</v>
      </c>
      <c r="J14" s="1" t="n">
        <v>15</v>
      </c>
      <c r="K14" s="1" t="n">
        <v>1.8</v>
      </c>
      <c r="L14" s="1" t="n">
        <v>11.4</v>
      </c>
      <c r="M14" s="1" t="n">
        <v>2000</v>
      </c>
      <c r="N14" s="1" t="n">
        <f aca="false">Constants!$C$7</f>
        <v>10000</v>
      </c>
      <c r="O14" s="1" t="n">
        <f aca="false">Constants!$C$8</f>
        <v>500</v>
      </c>
    </row>
    <row r="15" customFormat="false" ht="15" hidden="false" customHeight="true" outlineLevel="0" collapsed="false">
      <c r="A15" s="1" t="n">
        <v>13</v>
      </c>
      <c r="B15" s="1" t="n">
        <v>4.55</v>
      </c>
      <c r="C15" s="1" t="n">
        <v>0.38</v>
      </c>
      <c r="D15" s="1" t="n">
        <v>0.04</v>
      </c>
      <c r="E15" s="1" t="s">
        <v>107</v>
      </c>
      <c r="F15" s="1" t="s">
        <v>86</v>
      </c>
      <c r="G15" s="1" t="s">
        <v>87</v>
      </c>
      <c r="H15" s="1" t="n">
        <v>0.5</v>
      </c>
      <c r="I15" s="1" t="n">
        <v>300</v>
      </c>
      <c r="J15" s="1" t="n">
        <v>25</v>
      </c>
      <c r="K15" s="1" t="n">
        <v>1</v>
      </c>
      <c r="L15" s="1" t="n">
        <v>23</v>
      </c>
      <c r="M15" s="1" t="n">
        <v>2000</v>
      </c>
      <c r="N15" s="1" t="n">
        <f aca="false">Constants!$C$7</f>
        <v>10000</v>
      </c>
      <c r="O15" s="1" t="n">
        <f aca="false">Constants!$C$8</f>
        <v>500</v>
      </c>
    </row>
    <row r="16" customFormat="false" ht="15" hidden="false" customHeight="true" outlineLevel="0" collapsed="false">
      <c r="A16" s="1" t="n">
        <v>14</v>
      </c>
      <c r="B16" s="1" t="n">
        <v>4.55</v>
      </c>
      <c r="C16" s="1" t="n">
        <v>0.38</v>
      </c>
      <c r="D16" s="1" t="n">
        <v>0.08</v>
      </c>
      <c r="E16" s="1" t="s">
        <v>105</v>
      </c>
      <c r="F16" s="1" t="s">
        <v>80</v>
      </c>
      <c r="G16" s="1" t="s">
        <v>82</v>
      </c>
      <c r="H16" s="1" t="n">
        <v>1</v>
      </c>
      <c r="I16" s="1" t="n">
        <v>300</v>
      </c>
      <c r="J16" s="1" t="n">
        <v>25</v>
      </c>
      <c r="K16" s="1" t="n">
        <v>2</v>
      </c>
      <c r="L16" s="1" t="n">
        <v>21</v>
      </c>
      <c r="M16" s="1" t="n">
        <v>2000</v>
      </c>
      <c r="N16" s="1" t="n">
        <f aca="false">Constants!$C$7</f>
        <v>10000</v>
      </c>
      <c r="O16" s="1" t="n">
        <f aca="false">Constants!$C$8</f>
        <v>500</v>
      </c>
    </row>
    <row r="17" customFormat="false" ht="15" hidden="false" customHeight="true" outlineLevel="0" collapsed="false">
      <c r="A17" s="1" t="n">
        <v>15</v>
      </c>
      <c r="B17" s="1" t="n">
        <v>4.55</v>
      </c>
      <c r="C17" s="1" t="n">
        <v>0.38</v>
      </c>
      <c r="D17" s="1" t="n">
        <v>0.12</v>
      </c>
      <c r="E17" s="1" t="s">
        <v>106</v>
      </c>
      <c r="F17" s="1" t="s">
        <v>83</v>
      </c>
      <c r="G17" s="1" t="s">
        <v>85</v>
      </c>
      <c r="H17" s="1" t="n">
        <v>2</v>
      </c>
      <c r="I17" s="1" t="n">
        <v>300</v>
      </c>
      <c r="J17" s="1" t="n">
        <v>25</v>
      </c>
      <c r="K17" s="1" t="n">
        <v>3</v>
      </c>
      <c r="L17" s="1" t="n">
        <v>19</v>
      </c>
      <c r="M17" s="1" t="n">
        <v>2000</v>
      </c>
      <c r="N17" s="1" t="n">
        <f aca="false">Constants!$C$7</f>
        <v>10000</v>
      </c>
      <c r="O17" s="1" t="n">
        <f aca="false">Constants!$C$8</f>
        <v>500</v>
      </c>
    </row>
    <row r="18" customFormat="false" ht="15" hidden="false" customHeight="true" outlineLevel="0" collapsed="false">
      <c r="A18" s="5" t="n">
        <v>16</v>
      </c>
      <c r="B18" s="5" t="n">
        <v>4.55</v>
      </c>
      <c r="C18" s="5" t="n">
        <v>0.53</v>
      </c>
      <c r="D18" s="5" t="n">
        <v>0.04</v>
      </c>
      <c r="E18" s="5" t="s">
        <v>105</v>
      </c>
      <c r="F18" s="5" t="s">
        <v>80</v>
      </c>
      <c r="G18" s="5" t="s">
        <v>82</v>
      </c>
      <c r="H18" s="5" t="n">
        <v>2</v>
      </c>
      <c r="I18" s="5" t="n">
        <v>300</v>
      </c>
      <c r="J18" s="5" t="n">
        <v>35</v>
      </c>
      <c r="K18" s="5" t="n">
        <v>1.4</v>
      </c>
      <c r="L18" s="5" t="n">
        <v>32.2</v>
      </c>
      <c r="M18" s="5" t="n">
        <v>2000</v>
      </c>
      <c r="N18" s="5" t="n">
        <f aca="false">Constants!$C$7</f>
        <v>10000</v>
      </c>
      <c r="O18" s="5" t="n">
        <f aca="false">Constants!$C$8</f>
        <v>500</v>
      </c>
    </row>
    <row r="19" customFormat="false" ht="15" hidden="false" customHeight="true" outlineLevel="0" collapsed="false">
      <c r="A19" s="1" t="n">
        <v>17</v>
      </c>
      <c r="B19" s="1" t="n">
        <v>4.55</v>
      </c>
      <c r="C19" s="1" t="n">
        <v>0.53</v>
      </c>
      <c r="D19" s="1" t="n">
        <v>0.08</v>
      </c>
      <c r="E19" s="1" t="s">
        <v>106</v>
      </c>
      <c r="F19" s="1" t="s">
        <v>83</v>
      </c>
      <c r="G19" s="1" t="s">
        <v>85</v>
      </c>
      <c r="H19" s="1" t="n">
        <v>0.5</v>
      </c>
      <c r="I19" s="1" t="n">
        <v>300</v>
      </c>
      <c r="J19" s="1" t="n">
        <v>35</v>
      </c>
      <c r="K19" s="1" t="n">
        <v>2.8</v>
      </c>
      <c r="L19" s="1" t="n">
        <v>29.4</v>
      </c>
      <c r="M19" s="1" t="n">
        <v>2000</v>
      </c>
      <c r="N19" s="1" t="n">
        <f aca="false">Constants!$C$7</f>
        <v>10000</v>
      </c>
      <c r="O19" s="1" t="n">
        <f aca="false">Constants!$C$8</f>
        <v>500</v>
      </c>
    </row>
    <row r="20" customFormat="false" ht="15" hidden="false" customHeight="true" outlineLevel="0" collapsed="false">
      <c r="A20" s="1" t="n">
        <v>18</v>
      </c>
      <c r="B20" s="1" t="n">
        <v>4.55</v>
      </c>
      <c r="C20" s="1" t="n">
        <v>0.53</v>
      </c>
      <c r="D20" s="1" t="n">
        <v>0.12</v>
      </c>
      <c r="E20" s="1" t="s">
        <v>107</v>
      </c>
      <c r="F20" s="1" t="s">
        <v>86</v>
      </c>
      <c r="G20" s="1" t="s">
        <v>87</v>
      </c>
      <c r="H20" s="1" t="n">
        <v>1</v>
      </c>
      <c r="I20" s="1" t="n">
        <v>300</v>
      </c>
      <c r="J20" s="1" t="n">
        <v>35</v>
      </c>
      <c r="K20" s="1" t="n">
        <v>4.2</v>
      </c>
      <c r="L20" s="1" t="n">
        <v>26.6</v>
      </c>
      <c r="M20" s="1" t="n">
        <v>2000</v>
      </c>
      <c r="N20" s="1" t="n">
        <f aca="false">Constants!$C$7</f>
        <v>10000</v>
      </c>
      <c r="O20" s="1" t="n">
        <f aca="false">Constants!$C$8</f>
        <v>500</v>
      </c>
    </row>
    <row r="21" customFormat="false" ht="15" hidden="false" customHeight="true" outlineLevel="0" collapsed="false">
      <c r="A21" s="1" t="n">
        <v>19</v>
      </c>
      <c r="B21" s="1" t="n">
        <v>6.06</v>
      </c>
      <c r="C21" s="1" t="n">
        <v>0.23</v>
      </c>
      <c r="D21" s="1" t="n">
        <v>0.04</v>
      </c>
      <c r="E21" s="1" t="s">
        <v>107</v>
      </c>
      <c r="F21" s="1" t="s">
        <v>86</v>
      </c>
      <c r="G21" s="1" t="s">
        <v>87</v>
      </c>
      <c r="H21" s="1" t="n">
        <v>2</v>
      </c>
      <c r="I21" s="1" t="n">
        <v>400</v>
      </c>
      <c r="J21" s="1" t="n">
        <v>15</v>
      </c>
      <c r="K21" s="1" t="n">
        <v>0.6</v>
      </c>
      <c r="L21" s="1" t="n">
        <v>13.8</v>
      </c>
      <c r="M21" s="1" t="n">
        <v>2000</v>
      </c>
      <c r="N21" s="1" t="n">
        <f aca="false">Constants!$C$7</f>
        <v>10000</v>
      </c>
      <c r="O21" s="1" t="n">
        <f aca="false">Constants!$C$8</f>
        <v>500</v>
      </c>
    </row>
    <row r="22" customFormat="false" ht="15" hidden="false" customHeight="true" outlineLevel="0" collapsed="false">
      <c r="A22" s="1" t="n">
        <v>20</v>
      </c>
      <c r="B22" s="1" t="n">
        <v>6.06</v>
      </c>
      <c r="C22" s="1" t="n">
        <v>0.23</v>
      </c>
      <c r="D22" s="1" t="n">
        <v>0.08</v>
      </c>
      <c r="E22" s="1" t="s">
        <v>105</v>
      </c>
      <c r="F22" s="1" t="s">
        <v>80</v>
      </c>
      <c r="G22" s="1" t="s">
        <v>82</v>
      </c>
      <c r="H22" s="1" t="n">
        <v>0.5</v>
      </c>
      <c r="I22" s="1" t="n">
        <v>400</v>
      </c>
      <c r="J22" s="1" t="n">
        <v>15</v>
      </c>
      <c r="K22" s="1" t="n">
        <v>1.2</v>
      </c>
      <c r="L22" s="1" t="n">
        <v>12.6</v>
      </c>
      <c r="M22" s="1" t="n">
        <v>2000</v>
      </c>
      <c r="N22" s="1" t="n">
        <f aca="false">Constants!$C$7</f>
        <v>10000</v>
      </c>
      <c r="O22" s="1" t="n">
        <f aca="false">Constants!$C$8</f>
        <v>500</v>
      </c>
    </row>
    <row r="23" customFormat="false" ht="15" hidden="false" customHeight="true" outlineLevel="0" collapsed="false">
      <c r="A23" s="1" t="n">
        <v>21</v>
      </c>
      <c r="B23" s="1" t="n">
        <v>6.06</v>
      </c>
      <c r="C23" s="1" t="n">
        <v>0.23</v>
      </c>
      <c r="D23" s="1" t="n">
        <v>0.12</v>
      </c>
      <c r="E23" s="1" t="s">
        <v>106</v>
      </c>
      <c r="F23" s="1" t="s">
        <v>83</v>
      </c>
      <c r="G23" s="1" t="s">
        <v>85</v>
      </c>
      <c r="H23" s="1" t="n">
        <v>1</v>
      </c>
      <c r="I23" s="1" t="n">
        <v>400</v>
      </c>
      <c r="J23" s="1" t="n">
        <v>15</v>
      </c>
      <c r="K23" s="1" t="n">
        <v>1.8</v>
      </c>
      <c r="L23" s="1" t="n">
        <v>11.4</v>
      </c>
      <c r="M23" s="1" t="n">
        <v>2000</v>
      </c>
      <c r="N23" s="1" t="n">
        <f aca="false">Constants!$C$7</f>
        <v>10000</v>
      </c>
      <c r="O23" s="1" t="n">
        <f aca="false">Constants!$C$8</f>
        <v>500</v>
      </c>
    </row>
    <row r="24" customFormat="false" ht="15" hidden="false" customHeight="true" outlineLevel="0" collapsed="false">
      <c r="A24" s="1" t="n">
        <v>22</v>
      </c>
      <c r="B24" s="1" t="n">
        <v>6.06</v>
      </c>
      <c r="C24" s="1" t="n">
        <v>0.38</v>
      </c>
      <c r="D24" s="1" t="n">
        <v>0.04</v>
      </c>
      <c r="E24" s="1" t="s">
        <v>105</v>
      </c>
      <c r="F24" s="1" t="s">
        <v>80</v>
      </c>
      <c r="G24" s="1" t="s">
        <v>82</v>
      </c>
      <c r="H24" s="1" t="n">
        <v>1</v>
      </c>
      <c r="I24" s="1" t="n">
        <v>400</v>
      </c>
      <c r="J24" s="1" t="n">
        <v>25</v>
      </c>
      <c r="K24" s="1" t="n">
        <v>1</v>
      </c>
      <c r="L24" s="1" t="n">
        <v>23</v>
      </c>
      <c r="M24" s="1" t="n">
        <v>2000</v>
      </c>
      <c r="N24" s="1" t="n">
        <f aca="false">Constants!$C$7</f>
        <v>10000</v>
      </c>
      <c r="O24" s="1" t="n">
        <f aca="false">Constants!$C$8</f>
        <v>500</v>
      </c>
    </row>
    <row r="25" customFormat="false" ht="15" hidden="false" customHeight="true" outlineLevel="0" collapsed="false">
      <c r="A25" s="1" t="n">
        <v>23</v>
      </c>
      <c r="B25" s="1" t="n">
        <v>6.06</v>
      </c>
      <c r="C25" s="1" t="n">
        <v>0.38</v>
      </c>
      <c r="D25" s="1" t="n">
        <v>0.08</v>
      </c>
      <c r="E25" s="1" t="s">
        <v>106</v>
      </c>
      <c r="F25" s="1" t="s">
        <v>83</v>
      </c>
      <c r="G25" s="1" t="s">
        <v>85</v>
      </c>
      <c r="H25" s="1" t="n">
        <v>2</v>
      </c>
      <c r="I25" s="1" t="n">
        <v>400</v>
      </c>
      <c r="J25" s="1" t="n">
        <v>25</v>
      </c>
      <c r="K25" s="1" t="n">
        <v>2</v>
      </c>
      <c r="L25" s="1" t="n">
        <v>21</v>
      </c>
      <c r="M25" s="1" t="n">
        <v>2000</v>
      </c>
      <c r="N25" s="1" t="n">
        <f aca="false">Constants!$C$7</f>
        <v>10000</v>
      </c>
      <c r="O25" s="1" t="n">
        <f aca="false">Constants!$C$8</f>
        <v>500</v>
      </c>
    </row>
    <row r="26" customFormat="false" ht="15" hidden="false" customHeight="true" outlineLevel="0" collapsed="false">
      <c r="A26" s="1" t="n">
        <v>24</v>
      </c>
      <c r="B26" s="1" t="n">
        <v>6.06</v>
      </c>
      <c r="C26" s="1" t="n">
        <v>0.38</v>
      </c>
      <c r="D26" s="1" t="n">
        <v>0.12</v>
      </c>
      <c r="E26" s="1" t="s">
        <v>107</v>
      </c>
      <c r="F26" s="1" t="s">
        <v>86</v>
      </c>
      <c r="G26" s="1" t="s">
        <v>87</v>
      </c>
      <c r="H26" s="1" t="n">
        <v>0.5</v>
      </c>
      <c r="I26" s="1" t="n">
        <v>400</v>
      </c>
      <c r="J26" s="1" t="n">
        <v>25</v>
      </c>
      <c r="K26" s="1" t="n">
        <v>3</v>
      </c>
      <c r="L26" s="1" t="n">
        <v>19</v>
      </c>
      <c r="M26" s="1" t="n">
        <v>2000</v>
      </c>
      <c r="N26" s="1" t="n">
        <f aca="false">Constants!$C$7</f>
        <v>10000</v>
      </c>
      <c r="O26" s="1" t="n">
        <f aca="false">Constants!$C$8</f>
        <v>500</v>
      </c>
    </row>
    <row r="27" customFormat="false" ht="15" hidden="false" customHeight="true" outlineLevel="0" collapsed="false">
      <c r="A27" s="1" t="n">
        <v>25</v>
      </c>
      <c r="B27" s="1" t="n">
        <v>6.06</v>
      </c>
      <c r="C27" s="1" t="n">
        <v>0.53</v>
      </c>
      <c r="D27" s="1" t="n">
        <v>0.04</v>
      </c>
      <c r="E27" s="1" t="s">
        <v>106</v>
      </c>
      <c r="F27" s="1" t="s">
        <v>83</v>
      </c>
      <c r="G27" s="1" t="s">
        <v>85</v>
      </c>
      <c r="H27" s="1" t="n">
        <v>0.5</v>
      </c>
      <c r="I27" s="1" t="n">
        <v>400</v>
      </c>
      <c r="J27" s="1" t="n">
        <v>35</v>
      </c>
      <c r="K27" s="1" t="n">
        <v>1.4</v>
      </c>
      <c r="L27" s="1" t="n">
        <v>32.2</v>
      </c>
      <c r="M27" s="1" t="n">
        <v>2000</v>
      </c>
      <c r="N27" s="1" t="n">
        <f aca="false">Constants!$C$7</f>
        <v>10000</v>
      </c>
      <c r="O27" s="1" t="n">
        <f aca="false">Constants!$C$8</f>
        <v>500</v>
      </c>
    </row>
    <row r="28" customFormat="false" ht="15" hidden="false" customHeight="true" outlineLevel="0" collapsed="false">
      <c r="A28" s="1" t="n">
        <v>26</v>
      </c>
      <c r="B28" s="1" t="n">
        <v>6.06</v>
      </c>
      <c r="C28" s="1" t="n">
        <v>0.53</v>
      </c>
      <c r="D28" s="1" t="n">
        <v>0.08</v>
      </c>
      <c r="E28" s="1" t="s">
        <v>107</v>
      </c>
      <c r="F28" s="1" t="s">
        <v>86</v>
      </c>
      <c r="G28" s="1" t="s">
        <v>87</v>
      </c>
      <c r="H28" s="1" t="n">
        <v>1</v>
      </c>
      <c r="I28" s="1" t="n">
        <v>400</v>
      </c>
      <c r="J28" s="1" t="n">
        <v>35</v>
      </c>
      <c r="K28" s="1" t="n">
        <v>2.8</v>
      </c>
      <c r="L28" s="1" t="n">
        <v>29.4</v>
      </c>
      <c r="M28" s="1" t="n">
        <v>2000</v>
      </c>
      <c r="N28" s="1" t="n">
        <f aca="false">Constants!$C$7</f>
        <v>10000</v>
      </c>
      <c r="O28" s="1" t="n">
        <f aca="false">Constants!$C$8</f>
        <v>500</v>
      </c>
    </row>
    <row r="29" customFormat="false" ht="15" hidden="false" customHeight="true" outlineLevel="0" collapsed="false">
      <c r="A29" s="1" t="n">
        <v>27</v>
      </c>
      <c r="B29" s="1" t="n">
        <v>6.06</v>
      </c>
      <c r="C29" s="1" t="n">
        <v>0.53</v>
      </c>
      <c r="D29" s="1" t="n">
        <v>0.12</v>
      </c>
      <c r="E29" s="1" t="s">
        <v>105</v>
      </c>
      <c r="F29" s="1" t="s">
        <v>80</v>
      </c>
      <c r="G29" s="1" t="s">
        <v>82</v>
      </c>
      <c r="H29" s="1" t="n">
        <v>2</v>
      </c>
      <c r="I29" s="1" t="n">
        <v>400</v>
      </c>
      <c r="J29" s="1" t="n">
        <v>35</v>
      </c>
      <c r="K29" s="1" t="n">
        <v>4.2</v>
      </c>
      <c r="L29" s="1" t="n">
        <v>26.6</v>
      </c>
      <c r="M29" s="1" t="n">
        <v>2000</v>
      </c>
      <c r="N29" s="1" t="n">
        <f aca="false">Constants!$C$7</f>
        <v>10000</v>
      </c>
      <c r="O29" s="1" t="n">
        <f aca="false">Constants!$C$8</f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4" min="3" style="1" width="12"/>
    <col collapsed="false" customWidth="true" hidden="false" outlineLevel="0" max="5" min="5" style="1" width="14"/>
    <col collapsed="false" customWidth="true" hidden="false" outlineLevel="0" max="6" min="6" style="1" width="20"/>
    <col collapsed="false" customWidth="true" hidden="false" outlineLevel="0" max="7" min="7" style="1" width="45"/>
  </cols>
  <sheetData>
    <row r="1" customFormat="false" ht="15" hidden="false" customHeight="true" outlineLevel="0" collapsed="false">
      <c r="A1" s="3" t="s">
        <v>88</v>
      </c>
      <c r="B1" s="3" t="s">
        <v>108</v>
      </c>
      <c r="C1" s="3" t="s">
        <v>109</v>
      </c>
      <c r="D1" s="3" t="s">
        <v>110</v>
      </c>
      <c r="E1" s="3" t="s">
        <v>111</v>
      </c>
      <c r="F1" s="3" t="s">
        <v>112</v>
      </c>
      <c r="G1" s="3" t="s">
        <v>113</v>
      </c>
    </row>
    <row r="2" customFormat="false" ht="15" hidden="false" customHeight="true" outlineLevel="0" collapsed="false">
      <c r="A2" s="1" t="s">
        <v>103</v>
      </c>
      <c r="B2" s="4"/>
      <c r="C2" s="4"/>
      <c r="D2" s="4"/>
      <c r="E2" s="4"/>
      <c r="F2" s="4"/>
    </row>
    <row r="3" customFormat="false" ht="15" hidden="false" customHeight="true" outlineLevel="0" collapsed="false">
      <c r="A3" s="1" t="n">
        <v>1</v>
      </c>
      <c r="B3" s="4" t="n">
        <v>2.96</v>
      </c>
      <c r="C3" s="4" t="n">
        <v>3991036</v>
      </c>
      <c r="D3" s="4" t="n">
        <v>1636945</v>
      </c>
      <c r="E3" s="4" t="n">
        <v>0.84954</v>
      </c>
      <c r="F3" s="4" t="n">
        <v>0.015272</v>
      </c>
      <c r="G3" s="1" t="s">
        <v>114</v>
      </c>
    </row>
    <row r="4" customFormat="false" ht="15" hidden="false" customHeight="true" outlineLevel="0" collapsed="false">
      <c r="A4" s="1" t="n">
        <v>2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1" t="n">
        <v>3</v>
      </c>
      <c r="B5" s="4"/>
      <c r="C5" s="4"/>
      <c r="D5" s="4"/>
      <c r="E5" s="4"/>
      <c r="F5" s="4"/>
    </row>
    <row r="6" customFormat="false" ht="15" hidden="false" customHeight="true" outlineLevel="0" collapsed="false">
      <c r="A6" s="1" t="n">
        <v>4</v>
      </c>
      <c r="B6" s="4"/>
      <c r="C6" s="4"/>
      <c r="D6" s="4"/>
      <c r="E6" s="4"/>
      <c r="F6" s="4"/>
    </row>
    <row r="7" customFormat="false" ht="15" hidden="false" customHeight="true" outlineLevel="0" collapsed="false">
      <c r="A7" s="1" t="n">
        <v>5</v>
      </c>
      <c r="B7" s="4"/>
      <c r="C7" s="4"/>
      <c r="D7" s="4"/>
      <c r="E7" s="4"/>
      <c r="F7" s="4"/>
    </row>
    <row r="8" customFormat="false" ht="15" hidden="false" customHeight="true" outlineLevel="0" collapsed="false">
      <c r="A8" s="1" t="n">
        <v>6</v>
      </c>
      <c r="B8" s="4" t="n">
        <v>2.96</v>
      </c>
      <c r="C8" s="4" t="n">
        <v>5032279</v>
      </c>
      <c r="D8" s="4" t="n">
        <v>1869731</v>
      </c>
      <c r="E8" s="4" t="n">
        <v>0.84882</v>
      </c>
      <c r="F8" s="4" t="n">
        <v>0.010296</v>
      </c>
      <c r="G8" s="1" t="s">
        <v>115</v>
      </c>
    </row>
    <row r="9" customFormat="false" ht="15" hidden="false" customHeight="true" outlineLevel="0" collapsed="false">
      <c r="A9" s="1" t="n">
        <v>7</v>
      </c>
      <c r="B9" s="4"/>
      <c r="C9" s="4"/>
      <c r="D9" s="4"/>
      <c r="E9" s="4"/>
      <c r="F9" s="4"/>
    </row>
    <row r="10" customFormat="false" ht="15" hidden="false" customHeight="true" outlineLevel="0" collapsed="false">
      <c r="A10" s="5" t="n">
        <v>8</v>
      </c>
      <c r="B10" s="5" t="n">
        <v>2.96</v>
      </c>
      <c r="C10" s="5" t="n">
        <v>6293136</v>
      </c>
      <c r="D10" s="5" t="n">
        <v>2404391</v>
      </c>
      <c r="E10" s="5" t="n">
        <v>0.84882</v>
      </c>
      <c r="F10" s="5" t="n">
        <v>0.0096914</v>
      </c>
      <c r="G10" s="5" t="s">
        <v>116</v>
      </c>
    </row>
    <row r="11" customFormat="false" ht="15" hidden="false" customHeight="true" outlineLevel="0" collapsed="false">
      <c r="A11" s="1" t="n">
        <v>9</v>
      </c>
      <c r="B11" s="4"/>
      <c r="C11" s="4"/>
      <c r="D11" s="4"/>
      <c r="E11" s="4"/>
      <c r="F11" s="4"/>
    </row>
    <row r="12" customFormat="false" ht="15" hidden="false" customHeight="true" outlineLevel="0" collapsed="false">
      <c r="A12" s="1" t="n">
        <v>10</v>
      </c>
      <c r="B12" s="4"/>
      <c r="C12" s="4"/>
      <c r="D12" s="4"/>
      <c r="E12" s="4"/>
      <c r="F12" s="4"/>
    </row>
    <row r="13" customFormat="false" ht="15" hidden="false" customHeight="true" outlineLevel="0" collapsed="false">
      <c r="A13" s="1" t="n">
        <v>11</v>
      </c>
      <c r="B13" s="4"/>
      <c r="C13" s="4"/>
      <c r="D13" s="4"/>
      <c r="E13" s="4"/>
      <c r="F13" s="4"/>
    </row>
    <row r="14" customFormat="false" ht="15" hidden="false" customHeight="true" outlineLevel="0" collapsed="false">
      <c r="A14" s="1" t="n">
        <v>12</v>
      </c>
      <c r="B14" s="4" t="n">
        <v>2.96</v>
      </c>
      <c r="C14" s="4" t="n">
        <v>4378599</v>
      </c>
      <c r="D14" s="4" t="n">
        <v>1625862</v>
      </c>
      <c r="E14" s="4" t="n">
        <v>0.84954</v>
      </c>
      <c r="F14" s="4" t="n">
        <v>0.016175</v>
      </c>
      <c r="G14" s="1" t="s">
        <v>117</v>
      </c>
    </row>
    <row r="15" customFormat="false" ht="15" hidden="false" customHeight="true" outlineLevel="0" collapsed="false">
      <c r="A15" s="1" t="n">
        <v>13</v>
      </c>
      <c r="B15" s="4"/>
      <c r="C15" s="4"/>
      <c r="D15" s="4"/>
      <c r="E15" s="4"/>
      <c r="F15" s="4"/>
    </row>
    <row r="16" customFormat="false" ht="15" hidden="false" customHeight="true" outlineLevel="0" collapsed="false">
      <c r="A16" s="1" t="n">
        <v>14</v>
      </c>
      <c r="B16" s="4"/>
      <c r="C16" s="4"/>
      <c r="D16" s="4"/>
      <c r="E16" s="4"/>
      <c r="F16" s="4"/>
    </row>
    <row r="17" customFormat="false" ht="15" hidden="false" customHeight="true" outlineLevel="0" collapsed="false">
      <c r="A17" s="1" t="n">
        <v>15</v>
      </c>
      <c r="B17" s="4"/>
      <c r="C17" s="4"/>
      <c r="D17" s="4"/>
      <c r="E17" s="4"/>
      <c r="F17" s="4"/>
    </row>
    <row r="18" customFormat="false" ht="15" hidden="false" customHeight="true" outlineLevel="0" collapsed="false">
      <c r="A18" s="5" t="n">
        <v>16</v>
      </c>
      <c r="B18" s="5" t="n">
        <v>2.96</v>
      </c>
      <c r="C18" s="5" t="n">
        <v>6054475</v>
      </c>
      <c r="D18" s="5" t="n">
        <v>2334551</v>
      </c>
      <c r="E18" s="5" t="n">
        <v>0.84954</v>
      </c>
      <c r="F18" s="5" t="n">
        <v>0.0092812</v>
      </c>
      <c r="G18" s="6" t="s">
        <v>118</v>
      </c>
    </row>
    <row r="19" customFormat="false" ht="15" hidden="false" customHeight="true" outlineLevel="0" collapsed="false">
      <c r="A19" s="1" t="n">
        <v>17</v>
      </c>
      <c r="B19" s="4"/>
      <c r="C19" s="4"/>
      <c r="D19" s="4"/>
      <c r="E19" s="4"/>
      <c r="F19" s="4"/>
    </row>
    <row r="20" customFormat="false" ht="15" hidden="false" customHeight="true" outlineLevel="0" collapsed="false">
      <c r="A20" s="1" t="n">
        <v>18</v>
      </c>
      <c r="B20" s="4"/>
      <c r="C20" s="4"/>
      <c r="D20" s="4"/>
      <c r="E20" s="4"/>
      <c r="F20" s="4"/>
    </row>
    <row r="21" customFormat="false" ht="15" hidden="false" customHeight="true" outlineLevel="0" collapsed="false">
      <c r="A21" s="1" t="n">
        <v>19</v>
      </c>
      <c r="B21" s="4"/>
      <c r="C21" s="4"/>
      <c r="D21" s="4"/>
      <c r="E21" s="4"/>
      <c r="F21" s="4"/>
    </row>
    <row r="22" customFormat="false" ht="15" hidden="false" customHeight="true" outlineLevel="0" collapsed="false">
      <c r="A22" s="1" t="n">
        <v>20</v>
      </c>
      <c r="B22" s="4"/>
      <c r="C22" s="4"/>
      <c r="D22" s="4"/>
      <c r="E22" s="4"/>
      <c r="F22" s="4"/>
    </row>
    <row r="23" customFormat="false" ht="15" hidden="false" customHeight="true" outlineLevel="0" collapsed="false">
      <c r="A23" s="1" t="n">
        <v>21</v>
      </c>
      <c r="B23" s="4"/>
      <c r="C23" s="4"/>
      <c r="D23" s="4"/>
      <c r="E23" s="4"/>
      <c r="F23" s="4"/>
    </row>
    <row r="24" customFormat="false" ht="15" hidden="false" customHeight="true" outlineLevel="0" collapsed="false">
      <c r="A24" s="1" t="n">
        <v>22</v>
      </c>
      <c r="B24" s="4"/>
      <c r="C24" s="4"/>
      <c r="D24" s="4"/>
      <c r="E24" s="4"/>
      <c r="F24" s="4"/>
    </row>
    <row r="25" customFormat="false" ht="15" hidden="false" customHeight="true" outlineLevel="0" collapsed="false">
      <c r="A25" s="1" t="n">
        <v>23</v>
      </c>
      <c r="B25" s="4"/>
      <c r="C25" s="4"/>
      <c r="D25" s="4"/>
      <c r="E25" s="4"/>
      <c r="F25" s="4"/>
    </row>
    <row r="26" customFormat="false" ht="15" hidden="false" customHeight="true" outlineLevel="0" collapsed="false">
      <c r="A26" s="1" t="n">
        <v>24</v>
      </c>
      <c r="B26" s="4"/>
      <c r="C26" s="4"/>
      <c r="D26" s="4"/>
      <c r="E26" s="4"/>
      <c r="F26" s="4"/>
    </row>
    <row r="27" customFormat="false" ht="15" hidden="false" customHeight="true" outlineLevel="0" collapsed="false">
      <c r="A27" s="1" t="n">
        <v>25</v>
      </c>
      <c r="B27" s="4"/>
      <c r="C27" s="4"/>
      <c r="D27" s="4"/>
      <c r="E27" s="4"/>
      <c r="F27" s="4"/>
    </row>
    <row r="28" customFormat="false" ht="15" hidden="false" customHeight="true" outlineLevel="0" collapsed="false">
      <c r="A28" s="1" t="n">
        <v>26</v>
      </c>
      <c r="B28" s="4"/>
      <c r="C28" s="4"/>
      <c r="D28" s="4"/>
      <c r="E28" s="4"/>
      <c r="F28" s="4"/>
    </row>
    <row r="29" customFormat="false" ht="15" hidden="false" customHeight="true" outlineLevel="0" collapsed="false">
      <c r="A29" s="1" t="n">
        <v>27</v>
      </c>
      <c r="B29" s="4"/>
      <c r="C29" s="4"/>
      <c r="D29" s="4"/>
      <c r="E29" s="4"/>
      <c r="F2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6" min="3" style="1" width="9"/>
    <col collapsed="false" customWidth="true" hidden="false" outlineLevel="0" max="8" min="7" style="1" width="15"/>
    <col collapsed="false" customWidth="true" hidden="false" outlineLevel="0" max="10" min="9" style="1" width="13"/>
  </cols>
  <sheetData>
    <row r="1" customFormat="false" ht="15" hidden="false" customHeight="true" outlineLevel="0" collapsed="false">
      <c r="A1" s="3" t="s">
        <v>88</v>
      </c>
      <c r="B1" s="3" t="s">
        <v>119</v>
      </c>
      <c r="C1" s="3" t="s">
        <v>120</v>
      </c>
      <c r="D1" s="3" t="s">
        <v>121</v>
      </c>
      <c r="E1" s="3" t="s">
        <v>122</v>
      </c>
      <c r="F1" s="3" t="s">
        <v>123</v>
      </c>
      <c r="G1" s="3" t="s">
        <v>124</v>
      </c>
      <c r="H1" s="3" t="s">
        <v>125</v>
      </c>
      <c r="I1" s="3" t="s">
        <v>126</v>
      </c>
      <c r="J1" s="3" t="s">
        <v>127</v>
      </c>
    </row>
    <row r="2" customFormat="false" ht="15" hidden="false" customHeight="true" outlineLevel="0" collapsed="false">
      <c r="A2" s="1" t="s">
        <v>103</v>
      </c>
      <c r="B2" s="1" t="n">
        <v>0</v>
      </c>
      <c r="G2" s="1" t="n">
        <f aca="false">Constants!$C$22</f>
        <v>747.2</v>
      </c>
      <c r="H2" s="1" t="n">
        <f aca="false">Constants!$C$23</f>
        <v>1962</v>
      </c>
      <c r="I2" s="1" t="n">
        <f aca="false">Constants!$C$24</f>
        <v>0.0961</v>
      </c>
      <c r="J2" s="1" t="n">
        <f aca="false">Constants!$C$25</f>
        <v>0.00084</v>
      </c>
    </row>
    <row r="3" customFormat="false" ht="15" hidden="false" customHeight="true" outlineLevel="0" collapsed="false">
      <c r="A3" s="1" t="n">
        <v>1</v>
      </c>
      <c r="B3" s="1" t="n">
        <f aca="false">'Run Matrix (Inputs)'!$H$3/100/2</f>
        <v>0.0025</v>
      </c>
      <c r="C3" s="1" t="n">
        <f aca="false">IF(IFERROR(INDEX(Constants!$B$29:$B$34,MATCH('Run Matrix (Inputs)'!$F$3,Constants!$A$29:$A$34,0)),"")="","",IFERROR(INDEX(Constants!$B$29:$B$34,MATCH('Run Matrix (Inputs)'!$F$3,Constants!$A$29:$A$34,0)),""))</f>
        <v>5180</v>
      </c>
      <c r="D3" s="1" t="n">
        <f aca="false">IF(IFERROR(INDEX(Constants!$C$29:$C$34,MATCH('Run Matrix (Inputs)'!$F$3,Constants!$A$29:$A$34,0)),"")="","",IFERROR(INDEX(Constants!$C$29:$C$34,MATCH('Run Matrix (Inputs)'!$F$3,Constants!$A$29:$A$34,0)),""))</f>
        <v>670</v>
      </c>
      <c r="E3" s="1" t="n">
        <f aca="false">IF(IFERROR(INDEX(Constants!$B$29:$B$34,MATCH('Run Matrix (Inputs)'!$G$3,Constants!$A$29:$A$34,0)),"")="","",IFERROR(INDEX(Constants!$B$29:$B$34,MATCH('Run Matrix (Inputs)'!$G$3,Constants!$A$29:$A$34,0)),""))</f>
        <v>1800</v>
      </c>
      <c r="F3" s="1" t="n">
        <f aca="false">IF(IFERROR(INDEX(Constants!$C$29:$C$34,MATCH('Run Matrix (Inputs)'!$G$3,Constants!$A$29:$A$34,0)),"")="","",IFERROR(INDEX(Constants!$C$29:$C$34,MATCH('Run Matrix (Inputs)'!$G$3,Constants!$A$29:$A$34,0)),""))</f>
        <v>717</v>
      </c>
      <c r="G3" s="1" t="n">
        <f aca="false">IF(OR($C$3="",$E$3=""),"",(1-'Run Matrix (Inputs)'!$H$3/100)*Constants!$C$22+$B$3*$C$3+$B$3*$E$3)</f>
        <v>760.914</v>
      </c>
      <c r="H3" s="1" t="n">
        <f aca="false">IF(OR(OR($C$3="",$E$3=""),$G$3=""),"",((1-'Run Matrix (Inputs)'!$H$3/100)*Constants!$C$22*Constants!$C$23+$B$3*$C$3*$D$3+$B$3*$E$3*$F$3)/$G$3)</f>
        <v>1932.64858840815</v>
      </c>
      <c r="I3" s="1" t="n">
        <f aca="false">Constants!$C$24*(1+Constants!$C$16*'Run Matrix (Inputs)'!$H$3/100)</f>
        <v>0.097719285</v>
      </c>
      <c r="J3" s="1" t="n">
        <f aca="false">Constants!$C$25*((1+Constants!$C$17*$B$3+Constants!$C$18*$B$3^2)+(1+Constants!$C$17*$B$3+Constants!$C$18*$B$3^2))</f>
        <v>0.0016929297</v>
      </c>
    </row>
    <row r="4" customFormat="false" ht="15" hidden="false" customHeight="true" outlineLevel="0" collapsed="false">
      <c r="A4" s="1" t="n">
        <v>2</v>
      </c>
      <c r="B4" s="1" t="n">
        <f aca="false">'Run Matrix (Inputs)'!$H$4/100/2</f>
        <v>0.005</v>
      </c>
      <c r="C4" s="1" t="str">
        <f aca="false">IF(IFERROR(INDEX(Constants!$B$29:$B$34,MATCH('Run Matrix (Inputs)'!$F$4,Constants!$A$29:$A$34,0)),"")="","",IFERROR(INDEX(Constants!$B$29:$B$34,MATCH('Run Matrix (Inputs)'!$F$4,Constants!$A$29:$A$34,0)),""))</f>
        <v/>
      </c>
      <c r="D4" s="1" t="str">
        <f aca="false">IF(IFERROR(INDEX(Constants!$C$29:$C$34,MATCH('Run Matrix (Inputs)'!$F$4,Constants!$A$29:$A$34,0)),"")="","",IFERROR(INDEX(Constants!$C$29:$C$34,MATCH('Run Matrix (Inputs)'!$F$4,Constants!$A$29:$A$34,0)),""))</f>
        <v/>
      </c>
      <c r="E4" s="1" t="str">
        <f aca="false">IF(IFERROR(INDEX(Constants!$B$29:$B$34,MATCH('Run Matrix (Inputs)'!$G$4,Constants!$A$29:$A$34,0)),"")="","",IFERROR(INDEX(Constants!$B$29:$B$34,MATCH('Run Matrix (Inputs)'!$G$4,Constants!$A$29:$A$34,0)),""))</f>
        <v/>
      </c>
      <c r="F4" s="1" t="str">
        <f aca="false">IF(IFERROR(INDEX(Constants!$C$29:$C$34,MATCH('Run Matrix (Inputs)'!$G$4,Constants!$A$29:$A$34,0)),"")="","",IFERROR(INDEX(Constants!$C$29:$C$34,MATCH('Run Matrix (Inputs)'!$G$4,Constants!$A$29:$A$34,0)),""))</f>
        <v/>
      </c>
      <c r="G4" s="1" t="str">
        <f aca="false">IF(OR($C$4="",$E$4=""),"",(1-'Run Matrix (Inputs)'!$H$4/100)*Constants!$C$22+$B$4*$C$4+$B$4*$E$4)</f>
        <v/>
      </c>
      <c r="H4" s="1" t="str">
        <f aca="false">IF(OR(OR($C$4="",$E$4=""),$G$4=""),"",((1-'Run Matrix (Inputs)'!$H$4/100)*Constants!$C$22*Constants!$C$23+$B$4*$C$4*$D$4+$B$4*$E$4*$F$4)/$G$4)</f>
        <v/>
      </c>
      <c r="I4" s="1" t="n">
        <f aca="false">Constants!$C$24*(1+Constants!$C$16*'Run Matrix (Inputs)'!$H$4/100)</f>
        <v>0.09933857</v>
      </c>
      <c r="J4" s="1" t="n">
        <f aca="false">Constants!$C$25*((1+Constants!$C$17*$B$4+Constants!$C$18*$B$4^2)+(1+Constants!$C$17*$B$4+Constants!$C$18*$B$4^2))</f>
        <v>0.0017157588</v>
      </c>
    </row>
    <row r="5" customFormat="false" ht="15" hidden="false" customHeight="true" outlineLevel="0" collapsed="false">
      <c r="A5" s="1" t="n">
        <v>3</v>
      </c>
      <c r="B5" s="1" t="n">
        <f aca="false">'Run Matrix (Inputs)'!$H$5/100/2</f>
        <v>0.01</v>
      </c>
      <c r="C5" s="1" t="str">
        <f aca="false">IF(IFERROR(INDEX(Constants!$B$29:$B$34,MATCH('Run Matrix (Inputs)'!$F$5,Constants!$A$29:$A$34,0)),"")="","",IFERROR(INDEX(Constants!$B$29:$B$34,MATCH('Run Matrix (Inputs)'!$F$5,Constants!$A$29:$A$34,0)),""))</f>
        <v/>
      </c>
      <c r="D5" s="1" t="str">
        <f aca="false">IF(IFERROR(INDEX(Constants!$C$29:$C$34,MATCH('Run Matrix (Inputs)'!$F$5,Constants!$A$29:$A$34,0)),"")="","",IFERROR(INDEX(Constants!$C$29:$C$34,MATCH('Run Matrix (Inputs)'!$F$5,Constants!$A$29:$A$34,0)),""))</f>
        <v/>
      </c>
      <c r="E5" s="1" t="str">
        <f aca="false">IF(IFERROR(INDEX(Constants!$B$29:$B$34,MATCH('Run Matrix (Inputs)'!$G$5,Constants!$A$29:$A$34,0)),"")="","",IFERROR(INDEX(Constants!$B$29:$B$34,MATCH('Run Matrix (Inputs)'!$G$5,Constants!$A$29:$A$34,0)),""))</f>
        <v/>
      </c>
      <c r="F5" s="1" t="str">
        <f aca="false">IF(IFERROR(INDEX(Constants!$C$29:$C$34,MATCH('Run Matrix (Inputs)'!$G$5,Constants!$A$29:$A$34,0)),"")="","",IFERROR(INDEX(Constants!$C$29:$C$34,MATCH('Run Matrix (Inputs)'!$G$5,Constants!$A$29:$A$34,0)),""))</f>
        <v/>
      </c>
      <c r="G5" s="1" t="str">
        <f aca="false">IF(OR($C$5="",$E$5=""),"",(1-'Run Matrix (Inputs)'!$H$5/100)*Constants!$C$22+$B$5*$C$5+$B$5*$E$5)</f>
        <v/>
      </c>
      <c r="H5" s="1" t="str">
        <f aca="false">IF(OR(OR($C$5="",$E$5=""),$G$5=""),"",((1-'Run Matrix (Inputs)'!$H$5/100)*Constants!$C$22*Constants!$C$23+$B$5*$C$5*$D$5+$B$5*$E$5*$F$5)/$G$5)</f>
        <v/>
      </c>
      <c r="I5" s="1" t="n">
        <f aca="false">Constants!$C$24*(1+Constants!$C$16*'Run Matrix (Inputs)'!$H$5/100)</f>
        <v>0.10257714</v>
      </c>
      <c r="J5" s="1" t="n">
        <f aca="false">Constants!$C$25*((1+Constants!$C$17*$B$5+Constants!$C$18*$B$5^2)+(1+Constants!$C$17*$B$5+Constants!$C$18*$B$5^2))</f>
        <v>0.0017911152</v>
      </c>
    </row>
    <row r="6" customFormat="false" ht="15" hidden="false" customHeight="true" outlineLevel="0" collapsed="false">
      <c r="A6" s="1" t="n">
        <v>4</v>
      </c>
      <c r="B6" s="1" t="n">
        <f aca="false">'Run Matrix (Inputs)'!$H$6/100/2</f>
        <v>0.01</v>
      </c>
      <c r="C6" s="1" t="str">
        <f aca="false">IF(IFERROR(INDEX(Constants!$B$29:$B$34,MATCH('Run Matrix (Inputs)'!$F$6,Constants!$A$29:$A$34,0)),"")="","",IFERROR(INDEX(Constants!$B$29:$B$34,MATCH('Run Matrix (Inputs)'!$F$6,Constants!$A$29:$A$34,0)),""))</f>
        <v/>
      </c>
      <c r="D6" s="1" t="str">
        <f aca="false">IF(IFERROR(INDEX(Constants!$C$29:$C$34,MATCH('Run Matrix (Inputs)'!$F$6,Constants!$A$29:$A$34,0)),"")="","",IFERROR(INDEX(Constants!$C$29:$C$34,MATCH('Run Matrix (Inputs)'!$F$6,Constants!$A$29:$A$34,0)),""))</f>
        <v/>
      </c>
      <c r="E6" s="1" t="str">
        <f aca="false">IF(IFERROR(INDEX(Constants!$B$29:$B$34,MATCH('Run Matrix (Inputs)'!$G$6,Constants!$A$29:$A$34,0)),"")="","",IFERROR(INDEX(Constants!$B$29:$B$34,MATCH('Run Matrix (Inputs)'!$G$6,Constants!$A$29:$A$34,0)),""))</f>
        <v/>
      </c>
      <c r="F6" s="1" t="str">
        <f aca="false">IF(IFERROR(INDEX(Constants!$C$29:$C$34,MATCH('Run Matrix (Inputs)'!$G$6,Constants!$A$29:$A$34,0)),"")="","",IFERROR(INDEX(Constants!$C$29:$C$34,MATCH('Run Matrix (Inputs)'!$G$6,Constants!$A$29:$A$34,0)),""))</f>
        <v/>
      </c>
      <c r="G6" s="1" t="str">
        <f aca="false">IF(OR($C$6="",$E$6=""),"",(1-'Run Matrix (Inputs)'!$H$6/100)*Constants!$C$22+$B$6*$C$6+$B$6*$E$6)</f>
        <v/>
      </c>
      <c r="H6" s="1" t="str">
        <f aca="false">IF(OR(OR($C$6="",$E$6=""),$G$6=""),"",((1-'Run Matrix (Inputs)'!$H$6/100)*Constants!$C$22*Constants!$C$23+$B$6*$C$6*$D$6+$B$6*$E$6*$F$6)/$G$6)</f>
        <v/>
      </c>
      <c r="I6" s="1" t="n">
        <f aca="false">Constants!$C$24*(1+Constants!$C$16*'Run Matrix (Inputs)'!$H$6/100)</f>
        <v>0.10257714</v>
      </c>
      <c r="J6" s="1" t="n">
        <f aca="false">Constants!$C$25*((1+Constants!$C$17*$B$6+Constants!$C$18*$B$6^2)+(1+Constants!$C$17*$B$6+Constants!$C$18*$B$6^2))</f>
        <v>0.0017911152</v>
      </c>
    </row>
    <row r="7" customFormat="false" ht="15" hidden="false" customHeight="true" outlineLevel="0" collapsed="false">
      <c r="A7" s="1" t="n">
        <v>5</v>
      </c>
      <c r="B7" s="1" t="n">
        <f aca="false">'Run Matrix (Inputs)'!$H$7/100/2</f>
        <v>0.0025</v>
      </c>
      <c r="C7" s="1" t="str">
        <f aca="false">IF(IFERROR(INDEX(Constants!$B$29:$B$34,MATCH('Run Matrix (Inputs)'!$F$7,Constants!$A$29:$A$34,0)),"")="","",IFERROR(INDEX(Constants!$B$29:$B$34,MATCH('Run Matrix (Inputs)'!$F$7,Constants!$A$29:$A$34,0)),""))</f>
        <v/>
      </c>
      <c r="D7" s="1" t="str">
        <f aca="false">IF(IFERROR(INDEX(Constants!$C$29:$C$34,MATCH('Run Matrix (Inputs)'!$F$7,Constants!$A$29:$A$34,0)),"")="","",IFERROR(INDEX(Constants!$C$29:$C$34,MATCH('Run Matrix (Inputs)'!$F$7,Constants!$A$29:$A$34,0)),""))</f>
        <v/>
      </c>
      <c r="E7" s="1" t="str">
        <f aca="false">IF(IFERROR(INDEX(Constants!$B$29:$B$34,MATCH('Run Matrix (Inputs)'!$G$7,Constants!$A$29:$A$34,0)),"")="","",IFERROR(INDEX(Constants!$B$29:$B$34,MATCH('Run Matrix (Inputs)'!$G$7,Constants!$A$29:$A$34,0)),""))</f>
        <v/>
      </c>
      <c r="F7" s="1" t="str">
        <f aca="false">IF(IFERROR(INDEX(Constants!$C$29:$C$34,MATCH('Run Matrix (Inputs)'!$G$7,Constants!$A$29:$A$34,0)),"")="","",IFERROR(INDEX(Constants!$C$29:$C$34,MATCH('Run Matrix (Inputs)'!$G$7,Constants!$A$29:$A$34,0)),""))</f>
        <v/>
      </c>
      <c r="G7" s="1" t="str">
        <f aca="false">IF(OR($C$7="",$E$7=""),"",(1-'Run Matrix (Inputs)'!$H$7/100)*Constants!$C$22+$B$7*$C$7+$B$7*$E$7)</f>
        <v/>
      </c>
      <c r="H7" s="1" t="str">
        <f aca="false">IF(OR(OR($C$7="",$E$7=""),$G$7=""),"",((1-'Run Matrix (Inputs)'!$H$7/100)*Constants!$C$22*Constants!$C$23+$B$7*$C$7*$D$7+$B$7*$E$7*$F$7)/$G$7)</f>
        <v/>
      </c>
      <c r="I7" s="1" t="n">
        <f aca="false">Constants!$C$24*(1+Constants!$C$16*'Run Matrix (Inputs)'!$H$7/100)</f>
        <v>0.097719285</v>
      </c>
      <c r="J7" s="1" t="n">
        <f aca="false">Constants!$C$25*((1+Constants!$C$17*$B$7+Constants!$C$18*$B$7^2)+(1+Constants!$C$17*$B$7+Constants!$C$18*$B$7^2))</f>
        <v>0.0016929297</v>
      </c>
    </row>
    <row r="8" customFormat="false" ht="15" hidden="false" customHeight="true" outlineLevel="0" collapsed="false">
      <c r="A8" s="1" t="n">
        <v>6</v>
      </c>
      <c r="B8" s="1" t="n">
        <v>0.005</v>
      </c>
      <c r="C8" s="1" t="n">
        <v>5180</v>
      </c>
      <c r="D8" s="1" t="n">
        <v>670</v>
      </c>
      <c r="E8" s="1" t="n">
        <v>1800</v>
      </c>
      <c r="F8" s="1" t="n">
        <v>717</v>
      </c>
      <c r="G8" s="1" t="n">
        <v>774.628</v>
      </c>
      <c r="H8" s="1" t="n">
        <v>1904.3363</v>
      </c>
      <c r="I8" s="1" t="n">
        <v>0.09933857</v>
      </c>
      <c r="J8" s="1" t="n">
        <v>0.0017157588</v>
      </c>
    </row>
    <row r="9" customFormat="false" ht="15" hidden="false" customHeight="true" outlineLevel="0" collapsed="false">
      <c r="A9" s="1" t="n">
        <v>7</v>
      </c>
      <c r="B9" s="1" t="n">
        <f aca="false">'Run Matrix (Inputs)'!$H$9/100/2</f>
        <v>0.005</v>
      </c>
      <c r="C9" s="1" t="str">
        <f aca="false">IF(IFERROR(INDEX(Constants!$B$29:$B$34,MATCH('Run Matrix (Inputs)'!$F$9,Constants!$A$29:$A$34,0)),"")="","",IFERROR(INDEX(Constants!$B$29:$B$34,MATCH('Run Matrix (Inputs)'!$F$9,Constants!$A$29:$A$34,0)),""))</f>
        <v/>
      </c>
      <c r="D9" s="1" t="str">
        <f aca="false">IF(IFERROR(INDEX(Constants!$C$29:$C$34,MATCH('Run Matrix (Inputs)'!$F$9,Constants!$A$29:$A$34,0)),"")="","",IFERROR(INDEX(Constants!$C$29:$C$34,MATCH('Run Matrix (Inputs)'!$F$9,Constants!$A$29:$A$34,0)),""))</f>
        <v/>
      </c>
      <c r="E9" s="1" t="str">
        <f aca="false">IF(IFERROR(INDEX(Constants!$B$29:$B$34,MATCH('Run Matrix (Inputs)'!$G$9,Constants!$A$29:$A$34,0)),"")="","",IFERROR(INDEX(Constants!$B$29:$B$34,MATCH('Run Matrix (Inputs)'!$G$9,Constants!$A$29:$A$34,0)),""))</f>
        <v/>
      </c>
      <c r="F9" s="1" t="str">
        <f aca="false">IF(IFERROR(INDEX(Constants!$C$29:$C$34,MATCH('Run Matrix (Inputs)'!$G$9,Constants!$A$29:$A$34,0)),"")="","",IFERROR(INDEX(Constants!$C$29:$C$34,MATCH('Run Matrix (Inputs)'!$G$9,Constants!$A$29:$A$34,0)),""))</f>
        <v/>
      </c>
      <c r="G9" s="1" t="str">
        <f aca="false">IF(OR($C$9="",$E$9=""),"",(1-'Run Matrix (Inputs)'!$H$9/100)*Constants!$C$22+$B$9*$C$9+$B$9*$E$9)</f>
        <v/>
      </c>
      <c r="H9" s="1" t="str">
        <f aca="false">IF(OR(OR($C$9="",$E$9=""),$G$9=""),"",((1-'Run Matrix (Inputs)'!$H$9/100)*Constants!$C$22*Constants!$C$23+$B$9*$C$9*$D$9+$B$9*$E$9*$F$9)/$G$9)</f>
        <v/>
      </c>
      <c r="I9" s="1" t="n">
        <f aca="false">Constants!$C$24*(1+Constants!$C$16*'Run Matrix (Inputs)'!$H$9/100)</f>
        <v>0.09933857</v>
      </c>
      <c r="J9" s="1" t="n">
        <f aca="false">Constants!$C$25*((1+Constants!$C$17*$B$9+Constants!$C$18*$B$9^2)+(1+Constants!$C$17*$B$9+Constants!$C$18*$B$9^2))</f>
        <v>0.0017157588</v>
      </c>
    </row>
    <row r="10" customFormat="false" ht="15" hidden="false" customHeight="true" outlineLevel="0" collapsed="false">
      <c r="A10" s="5" t="n">
        <v>8</v>
      </c>
      <c r="B10" s="5" t="n">
        <v>0.01</v>
      </c>
      <c r="C10" s="5" t="n">
        <v>5180</v>
      </c>
      <c r="D10" s="5" t="n">
        <v>670</v>
      </c>
      <c r="E10" s="5" t="n">
        <v>1800</v>
      </c>
      <c r="F10" s="5" t="n">
        <v>717</v>
      </c>
      <c r="G10" s="5" t="n">
        <v>802.056</v>
      </c>
      <c r="H10" s="5" t="n">
        <v>1850.617</v>
      </c>
      <c r="I10" s="5" t="n">
        <v>0.102577</v>
      </c>
      <c r="J10" s="5" t="n">
        <v>0.0017911</v>
      </c>
    </row>
    <row r="11" customFormat="false" ht="15" hidden="false" customHeight="true" outlineLevel="0" collapsed="false">
      <c r="A11" s="1" t="n">
        <v>9</v>
      </c>
      <c r="B11" s="1" t="n">
        <f aca="false">'Run Matrix (Inputs)'!$H$11/100/2</f>
        <v>0.0025</v>
      </c>
      <c r="C11" s="1" t="str">
        <f aca="false">IF(IFERROR(INDEX(Constants!$B$29:$B$34,MATCH('Run Matrix (Inputs)'!$F$11,Constants!$A$29:$A$34,0)),"")="","",IFERROR(INDEX(Constants!$B$29:$B$34,MATCH('Run Matrix (Inputs)'!$F$11,Constants!$A$29:$A$34,0)),""))</f>
        <v/>
      </c>
      <c r="D11" s="1" t="str">
        <f aca="false">IF(IFERROR(INDEX(Constants!$C$29:$C$34,MATCH('Run Matrix (Inputs)'!$F$11,Constants!$A$29:$A$34,0)),"")="","",IFERROR(INDEX(Constants!$C$29:$C$34,MATCH('Run Matrix (Inputs)'!$F$11,Constants!$A$29:$A$34,0)),""))</f>
        <v/>
      </c>
      <c r="E11" s="1" t="str">
        <f aca="false">IF(IFERROR(INDEX(Constants!$B$29:$B$34,MATCH('Run Matrix (Inputs)'!$G$11,Constants!$A$29:$A$34,0)),"")="","",IFERROR(INDEX(Constants!$B$29:$B$34,MATCH('Run Matrix (Inputs)'!$G$11,Constants!$A$29:$A$34,0)),""))</f>
        <v/>
      </c>
      <c r="F11" s="1" t="str">
        <f aca="false">IF(IFERROR(INDEX(Constants!$C$29:$C$34,MATCH('Run Matrix (Inputs)'!$G$11,Constants!$A$29:$A$34,0)),"")="","",IFERROR(INDEX(Constants!$C$29:$C$34,MATCH('Run Matrix (Inputs)'!$G$11,Constants!$A$29:$A$34,0)),""))</f>
        <v/>
      </c>
      <c r="G11" s="1" t="str">
        <f aca="false">IF(OR($C$11="",$E$11=""),"",(1-'Run Matrix (Inputs)'!$H$11/100)*Constants!$C$22+$B$11*$C$11+$B$11*$E$11)</f>
        <v/>
      </c>
      <c r="H11" s="1" t="str">
        <f aca="false">IF(OR(OR($C$11="",$E$11=""),$G$11=""),"",((1-'Run Matrix (Inputs)'!$H$11/100)*Constants!$C$22*Constants!$C$23+$B$11*$C$11*$D$11+$B$11*$E$11*$F$11)/$G$11)</f>
        <v/>
      </c>
      <c r="I11" s="1" t="n">
        <f aca="false">Constants!$C$24*(1+Constants!$C$16*'Run Matrix (Inputs)'!$H$11/100)</f>
        <v>0.097719285</v>
      </c>
      <c r="J11" s="1" t="n">
        <f aca="false">Constants!$C$25*((1+Constants!$C$17*$B$11+Constants!$C$18*$B$11^2)+(1+Constants!$C$17*$B$11+Constants!$C$18*$B$11^2))</f>
        <v>0.0016929297</v>
      </c>
    </row>
    <row r="12" customFormat="false" ht="15" hidden="false" customHeight="true" outlineLevel="0" collapsed="false">
      <c r="A12" s="1" t="n">
        <v>10</v>
      </c>
      <c r="B12" s="1" t="n">
        <f aca="false">'Run Matrix (Inputs)'!$H$12/100/2</f>
        <v>0.005</v>
      </c>
      <c r="C12" s="1" t="str">
        <f aca="false">IF(IFERROR(INDEX(Constants!$B$29:$B$34,MATCH('Run Matrix (Inputs)'!$F$12,Constants!$A$29:$A$34,0)),"")="","",IFERROR(INDEX(Constants!$B$29:$B$34,MATCH('Run Matrix (Inputs)'!$F$12,Constants!$A$29:$A$34,0)),""))</f>
        <v/>
      </c>
      <c r="D12" s="1" t="str">
        <f aca="false">IF(IFERROR(INDEX(Constants!$C$29:$C$34,MATCH('Run Matrix (Inputs)'!$F$12,Constants!$A$29:$A$34,0)),"")="","",IFERROR(INDEX(Constants!$C$29:$C$34,MATCH('Run Matrix (Inputs)'!$F$12,Constants!$A$29:$A$34,0)),""))</f>
        <v/>
      </c>
      <c r="E12" s="1" t="str">
        <f aca="false">IF(IFERROR(INDEX(Constants!$B$29:$B$34,MATCH('Run Matrix (Inputs)'!$G$12,Constants!$A$29:$A$34,0)),"")="","",IFERROR(INDEX(Constants!$B$29:$B$34,MATCH('Run Matrix (Inputs)'!$G$12,Constants!$A$29:$A$34,0)),""))</f>
        <v/>
      </c>
      <c r="F12" s="1" t="str">
        <f aca="false">IF(IFERROR(INDEX(Constants!$C$29:$C$34,MATCH('Run Matrix (Inputs)'!$G$12,Constants!$A$29:$A$34,0)),"")="","",IFERROR(INDEX(Constants!$C$29:$C$34,MATCH('Run Matrix (Inputs)'!$G$12,Constants!$A$29:$A$34,0)),""))</f>
        <v/>
      </c>
      <c r="G12" s="1" t="str">
        <f aca="false">IF(OR($C$12="",$E$12=""),"",(1-'Run Matrix (Inputs)'!$H$12/100)*Constants!$C$22+$B$12*$C$12+$B$12*$E$12)</f>
        <v/>
      </c>
      <c r="H12" s="1" t="str">
        <f aca="false">IF(OR(OR($C$12="",$E$12=""),$G$12=""),"",((1-'Run Matrix (Inputs)'!$H$12/100)*Constants!$C$22*Constants!$C$23+$B$12*$C$12*$D$12+$B$12*$E$12*$F$12)/$G$12)</f>
        <v/>
      </c>
      <c r="I12" s="1" t="n">
        <f aca="false">Constants!$C$24*(1+Constants!$C$16*'Run Matrix (Inputs)'!$H$12/100)</f>
        <v>0.09933857</v>
      </c>
      <c r="J12" s="1" t="n">
        <f aca="false">Constants!$C$25*((1+Constants!$C$17*$B$12+Constants!$C$18*$B$12^2)+(1+Constants!$C$17*$B$12+Constants!$C$18*$B$12^2))</f>
        <v>0.0017157588</v>
      </c>
    </row>
    <row r="13" customFormat="false" ht="15" hidden="false" customHeight="true" outlineLevel="0" collapsed="false">
      <c r="A13" s="1" t="n">
        <v>11</v>
      </c>
      <c r="B13" s="1" t="n">
        <f aca="false">'Run Matrix (Inputs)'!$H$13/100/2</f>
        <v>0.01</v>
      </c>
      <c r="C13" s="1" t="str">
        <f aca="false">IF(IFERROR(INDEX(Constants!$B$29:$B$34,MATCH('Run Matrix (Inputs)'!$F$13,Constants!$A$29:$A$34,0)),"")="","",IFERROR(INDEX(Constants!$B$29:$B$34,MATCH('Run Matrix (Inputs)'!$F$13,Constants!$A$29:$A$34,0)),""))</f>
        <v/>
      </c>
      <c r="D13" s="1" t="str">
        <f aca="false">IF(IFERROR(INDEX(Constants!$C$29:$C$34,MATCH('Run Matrix (Inputs)'!$F$13,Constants!$A$29:$A$34,0)),"")="","",IFERROR(INDEX(Constants!$C$29:$C$34,MATCH('Run Matrix (Inputs)'!$F$13,Constants!$A$29:$A$34,0)),""))</f>
        <v/>
      </c>
      <c r="E13" s="1" t="str">
        <f aca="false">IF(IFERROR(INDEX(Constants!$B$29:$B$34,MATCH('Run Matrix (Inputs)'!$G$13,Constants!$A$29:$A$34,0)),"")="","",IFERROR(INDEX(Constants!$B$29:$B$34,MATCH('Run Matrix (Inputs)'!$G$13,Constants!$A$29:$A$34,0)),""))</f>
        <v/>
      </c>
      <c r="F13" s="1" t="str">
        <f aca="false">IF(IFERROR(INDEX(Constants!$C$29:$C$34,MATCH('Run Matrix (Inputs)'!$G$13,Constants!$A$29:$A$34,0)),"")="","",IFERROR(INDEX(Constants!$C$29:$C$34,MATCH('Run Matrix (Inputs)'!$G$13,Constants!$A$29:$A$34,0)),""))</f>
        <v/>
      </c>
      <c r="G13" s="1" t="str">
        <f aca="false">IF(OR($C$13="",$E$13=""),"",(1-'Run Matrix (Inputs)'!$H$13/100)*Constants!$C$22+$B$13*$C$13+$B$13*$E$13)</f>
        <v/>
      </c>
      <c r="H13" s="1" t="str">
        <f aca="false">IF(OR(OR($C$13="",$E$13=""),$G$13=""),"",((1-'Run Matrix (Inputs)'!$H$13/100)*Constants!$C$22*Constants!$C$23+$B$13*$C$13*$D$13+$B$13*$E$13*$F$13)/$G$13)</f>
        <v/>
      </c>
      <c r="I13" s="1" t="n">
        <f aca="false">Constants!$C$24*(1+Constants!$C$16*'Run Matrix (Inputs)'!$H$13/100)</f>
        <v>0.10257714</v>
      </c>
      <c r="J13" s="1" t="n">
        <f aca="false">Constants!$C$25*((1+Constants!$C$17*$B$13+Constants!$C$18*$B$13^2)+(1+Constants!$C$17*$B$13+Constants!$C$18*$B$13^2))</f>
        <v>0.0017911152</v>
      </c>
    </row>
    <row r="14" customFormat="false" ht="15" hidden="false" customHeight="true" outlineLevel="0" collapsed="false">
      <c r="A14" s="1" t="n">
        <v>12</v>
      </c>
      <c r="B14" s="1" t="n">
        <f aca="false">'Run Matrix (Inputs)'!$H$14/100/2</f>
        <v>0.0025</v>
      </c>
      <c r="C14" s="1" t="n">
        <f aca="false">IF(IFERROR(INDEX(Constants!$B$29:$B$34,MATCH('Run Matrix (Inputs)'!$F$14,Constants!$A$29:$A$34,0)),"")="","",IFERROR(INDEX(Constants!$B$29:$B$34,MATCH('Run Matrix (Inputs)'!$F$14,Constants!$A$29:$A$34,0)),""))</f>
        <v>5180</v>
      </c>
      <c r="D14" s="1" t="n">
        <f aca="false">IF(IFERROR(INDEX(Constants!$C$29:$C$34,MATCH('Run Matrix (Inputs)'!$F$14,Constants!$A$29:$A$34,0)),"")="","",IFERROR(INDEX(Constants!$C$29:$C$34,MATCH('Run Matrix (Inputs)'!$F$14,Constants!$A$29:$A$34,0)),""))</f>
        <v>670</v>
      </c>
      <c r="E14" s="1" t="n">
        <f aca="false">IF(IFERROR(INDEX(Constants!$B$29:$B$34,MATCH('Run Matrix (Inputs)'!$G$14,Constants!$A$29:$A$34,0)),"")="","",IFERROR(INDEX(Constants!$B$29:$B$34,MATCH('Run Matrix (Inputs)'!$G$14,Constants!$A$29:$A$34,0)),""))</f>
        <v>1800</v>
      </c>
      <c r="F14" s="1" t="n">
        <f aca="false">IF(IFERROR(INDEX(Constants!$C$29:$C$34,MATCH('Run Matrix (Inputs)'!$G$14,Constants!$A$29:$A$34,0)),"")="","",IFERROR(INDEX(Constants!$C$29:$C$34,MATCH('Run Matrix (Inputs)'!$G$14,Constants!$A$29:$A$34,0)),""))</f>
        <v>717</v>
      </c>
      <c r="G14" s="1" t="n">
        <f aca="false">IF(OR($C$14="",$E$14=""),"",(1-'Run Matrix (Inputs)'!$H$14/100)*Constants!$C$22+$B$14*$C$14+$B$14*$E$14)</f>
        <v>760.914</v>
      </c>
      <c r="H14" s="1" t="n">
        <f aca="false">IF(OR(OR($C$14="",$E$14=""),$G$14=""),"",((1-'Run Matrix (Inputs)'!$H$14/100)*Constants!$C$22*Constants!$C$23+$B$14*$C$14*$D$14+$B$14*$E$14*$F$14)/$G$14)</f>
        <v>1932.64858840815</v>
      </c>
      <c r="I14" s="1" t="n">
        <f aca="false">Constants!$C$24*(1+Constants!$C$16*'Run Matrix (Inputs)'!$H$14/100)</f>
        <v>0.097719285</v>
      </c>
      <c r="J14" s="1" t="n">
        <f aca="false">Constants!$C$25*((1+Constants!$C$17*$B$14+Constants!$C$18*$B$14^2)+(1+Constants!$C$17*$B$14+Constants!$C$18*$B$14^2))</f>
        <v>0.0016929297</v>
      </c>
    </row>
    <row r="15" customFormat="false" ht="15" hidden="false" customHeight="true" outlineLevel="0" collapsed="false">
      <c r="A15" s="1" t="n">
        <v>13</v>
      </c>
      <c r="B15" s="1" t="n">
        <f aca="false">'Run Matrix (Inputs)'!$H$15/100/2</f>
        <v>0.0025</v>
      </c>
      <c r="C15" s="1" t="str">
        <f aca="false">IF(IFERROR(INDEX(Constants!$B$29:$B$34,MATCH('Run Matrix (Inputs)'!$F$15,Constants!$A$29:$A$34,0)),"")="","",IFERROR(INDEX(Constants!$B$29:$B$34,MATCH('Run Matrix (Inputs)'!$F$15,Constants!$A$29:$A$34,0)),""))</f>
        <v/>
      </c>
      <c r="D15" s="1" t="str">
        <f aca="false">IF(IFERROR(INDEX(Constants!$C$29:$C$34,MATCH('Run Matrix (Inputs)'!$F$15,Constants!$A$29:$A$34,0)),"")="","",IFERROR(INDEX(Constants!$C$29:$C$34,MATCH('Run Matrix (Inputs)'!$F$15,Constants!$A$29:$A$34,0)),""))</f>
        <v/>
      </c>
      <c r="E15" s="1" t="str">
        <f aca="false">IF(IFERROR(INDEX(Constants!$B$29:$B$34,MATCH('Run Matrix (Inputs)'!$G$15,Constants!$A$29:$A$34,0)),"")="","",IFERROR(INDEX(Constants!$B$29:$B$34,MATCH('Run Matrix (Inputs)'!$G$15,Constants!$A$29:$A$34,0)),""))</f>
        <v/>
      </c>
      <c r="F15" s="1" t="str">
        <f aca="false">IF(IFERROR(INDEX(Constants!$C$29:$C$34,MATCH('Run Matrix (Inputs)'!$G$15,Constants!$A$29:$A$34,0)),"")="","",IFERROR(INDEX(Constants!$C$29:$C$34,MATCH('Run Matrix (Inputs)'!$G$15,Constants!$A$29:$A$34,0)),""))</f>
        <v/>
      </c>
      <c r="G15" s="1" t="str">
        <f aca="false">IF(OR($C$15="",$E$15=""),"",(1-'Run Matrix (Inputs)'!$H$15/100)*Constants!$C$22+$B$15*$C$15+$B$15*$E$15)</f>
        <v/>
      </c>
      <c r="H15" s="1" t="str">
        <f aca="false">IF(OR(OR($C$15="",$E$15=""),$G$15=""),"",((1-'Run Matrix (Inputs)'!$H$15/100)*Constants!$C$22*Constants!$C$23+$B$15*$C$15*$D$15+$B$15*$E$15*$F$15)/$G$15)</f>
        <v/>
      </c>
      <c r="I15" s="1" t="n">
        <f aca="false">Constants!$C$24*(1+Constants!$C$16*'Run Matrix (Inputs)'!$H$15/100)</f>
        <v>0.097719285</v>
      </c>
      <c r="J15" s="1" t="n">
        <f aca="false">Constants!$C$25*((1+Constants!$C$17*$B$15+Constants!$C$18*$B$15^2)+(1+Constants!$C$17*$B$15+Constants!$C$18*$B$15^2))</f>
        <v>0.0016929297</v>
      </c>
    </row>
    <row r="16" customFormat="false" ht="15" hidden="false" customHeight="true" outlineLevel="0" collapsed="false">
      <c r="A16" s="1" t="n">
        <v>14</v>
      </c>
      <c r="B16" s="1" t="n">
        <v>0.005</v>
      </c>
      <c r="C16" s="1" t="n">
        <v>5180</v>
      </c>
      <c r="D16" s="1" t="n">
        <v>670</v>
      </c>
      <c r="E16" s="1" t="n">
        <v>1800</v>
      </c>
      <c r="F16" s="1" t="n">
        <v>717</v>
      </c>
      <c r="G16" s="1" t="n">
        <v>774.628</v>
      </c>
      <c r="H16" s="1" t="n">
        <v>1904.34</v>
      </c>
      <c r="I16" s="1" t="n">
        <v>0.09934</v>
      </c>
      <c r="J16" s="1" t="n">
        <v>0.0017158</v>
      </c>
    </row>
    <row r="17" customFormat="false" ht="15" hidden="false" customHeight="true" outlineLevel="0" collapsed="false">
      <c r="A17" s="1" t="n">
        <v>15</v>
      </c>
      <c r="B17" s="1" t="n">
        <f aca="false">'Run Matrix (Inputs)'!$H$17/100/2</f>
        <v>0.01</v>
      </c>
      <c r="C17" s="1" t="str">
        <f aca="false">IF(IFERROR(INDEX(Constants!$B$29:$B$34,MATCH('Run Matrix (Inputs)'!$F$17,Constants!$A$29:$A$34,0)),"")="","",IFERROR(INDEX(Constants!$B$29:$B$34,MATCH('Run Matrix (Inputs)'!$F$17,Constants!$A$29:$A$34,0)),""))</f>
        <v/>
      </c>
      <c r="D17" s="1" t="str">
        <f aca="false">IF(IFERROR(INDEX(Constants!$C$29:$C$34,MATCH('Run Matrix (Inputs)'!$F$17,Constants!$A$29:$A$34,0)),"")="","",IFERROR(INDEX(Constants!$C$29:$C$34,MATCH('Run Matrix (Inputs)'!$F$17,Constants!$A$29:$A$34,0)),""))</f>
        <v/>
      </c>
      <c r="E17" s="1" t="str">
        <f aca="false">IF(IFERROR(INDEX(Constants!$B$29:$B$34,MATCH('Run Matrix (Inputs)'!$G$17,Constants!$A$29:$A$34,0)),"")="","",IFERROR(INDEX(Constants!$B$29:$B$34,MATCH('Run Matrix (Inputs)'!$G$17,Constants!$A$29:$A$34,0)),""))</f>
        <v/>
      </c>
      <c r="F17" s="1" t="str">
        <f aca="false">IF(IFERROR(INDEX(Constants!$C$29:$C$34,MATCH('Run Matrix (Inputs)'!$G$17,Constants!$A$29:$A$34,0)),"")="","",IFERROR(INDEX(Constants!$C$29:$C$34,MATCH('Run Matrix (Inputs)'!$G$17,Constants!$A$29:$A$34,0)),""))</f>
        <v/>
      </c>
      <c r="G17" s="1" t="str">
        <f aca="false">IF(OR($C$17="",$E$17=""),"",(1-'Run Matrix (Inputs)'!$H$17/100)*Constants!$C$22+$B$17*$C$17+$B$17*$E$17)</f>
        <v/>
      </c>
      <c r="H17" s="1" t="str">
        <f aca="false">IF(OR(OR($C$17="",$E$17=""),$G$17=""),"",((1-'Run Matrix (Inputs)'!$H$17/100)*Constants!$C$22*Constants!$C$23+$B$17*$C$17*$D$17+$B$17*$E$17*$F$17)/$G$17)</f>
        <v/>
      </c>
      <c r="I17" s="1" t="n">
        <f aca="false">Constants!$C$24*(1+Constants!$C$16*'Run Matrix (Inputs)'!$H$17/100)</f>
        <v>0.10257714</v>
      </c>
      <c r="J17" s="1" t="n">
        <f aca="false">Constants!$C$25*((1+Constants!$C$17*$B$17+Constants!$C$18*$B$17^2)+(1+Constants!$C$17*$B$17+Constants!$C$18*$B$17^2))</f>
        <v>0.0017911152</v>
      </c>
    </row>
    <row r="18" customFormat="false" ht="15" hidden="false" customHeight="true" outlineLevel="0" collapsed="false">
      <c r="A18" s="5" t="n">
        <v>16</v>
      </c>
      <c r="B18" s="5" t="n">
        <v>0.01</v>
      </c>
      <c r="C18" s="5" t="n">
        <v>5180</v>
      </c>
      <c r="D18" s="5" t="n">
        <v>670</v>
      </c>
      <c r="E18" s="5" t="n">
        <v>1800</v>
      </c>
      <c r="F18" s="5" t="n">
        <v>717</v>
      </c>
      <c r="G18" s="5" t="n">
        <v>802.056</v>
      </c>
      <c r="H18" s="5" t="n">
        <v>1850.62</v>
      </c>
      <c r="I18" s="5" t="n">
        <v>0.102577</v>
      </c>
      <c r="J18" s="5" t="n">
        <v>0.0017911</v>
      </c>
    </row>
    <row r="19" customFormat="false" ht="15" hidden="false" customHeight="true" outlineLevel="0" collapsed="false">
      <c r="A19" s="1" t="n">
        <v>17</v>
      </c>
      <c r="B19" s="1" t="n">
        <f aca="false">'Run Matrix (Inputs)'!$H$19/100/2</f>
        <v>0.0025</v>
      </c>
      <c r="C19" s="1" t="str">
        <f aca="false">IF(IFERROR(INDEX(Constants!$B$29:$B$34,MATCH('Run Matrix (Inputs)'!$F$19,Constants!$A$29:$A$34,0)),"")="","",IFERROR(INDEX(Constants!$B$29:$B$34,MATCH('Run Matrix (Inputs)'!$F$19,Constants!$A$29:$A$34,0)),""))</f>
        <v/>
      </c>
      <c r="D19" s="1" t="str">
        <f aca="false">IF(IFERROR(INDEX(Constants!$C$29:$C$34,MATCH('Run Matrix (Inputs)'!$F$19,Constants!$A$29:$A$34,0)),"")="","",IFERROR(INDEX(Constants!$C$29:$C$34,MATCH('Run Matrix (Inputs)'!$F$19,Constants!$A$29:$A$34,0)),""))</f>
        <v/>
      </c>
      <c r="E19" s="1" t="str">
        <f aca="false">IF(IFERROR(INDEX(Constants!$B$29:$B$34,MATCH('Run Matrix (Inputs)'!$G$19,Constants!$A$29:$A$34,0)),"")="","",IFERROR(INDEX(Constants!$B$29:$B$34,MATCH('Run Matrix (Inputs)'!$G$19,Constants!$A$29:$A$34,0)),""))</f>
        <v/>
      </c>
      <c r="F19" s="1" t="str">
        <f aca="false">IF(IFERROR(INDEX(Constants!$C$29:$C$34,MATCH('Run Matrix (Inputs)'!$G$19,Constants!$A$29:$A$34,0)),"")="","",IFERROR(INDEX(Constants!$C$29:$C$34,MATCH('Run Matrix (Inputs)'!$G$19,Constants!$A$29:$A$34,0)),""))</f>
        <v/>
      </c>
      <c r="G19" s="1" t="str">
        <f aca="false">IF(OR($C$19="",$E$19=""),"",(1-'Run Matrix (Inputs)'!$H$19/100)*Constants!$C$22+$B$19*$C$19+$B$19*$E$19)</f>
        <v/>
      </c>
      <c r="H19" s="1" t="str">
        <f aca="false">IF(OR(OR($C$19="",$E$19=""),$G$19=""),"",((1-'Run Matrix (Inputs)'!$H$19/100)*Constants!$C$22*Constants!$C$23+$B$19*$C$19*$D$19+$B$19*$E$19*$F$19)/$G$19)</f>
        <v/>
      </c>
      <c r="I19" s="1" t="n">
        <f aca="false">Constants!$C$24*(1+Constants!$C$16*'Run Matrix (Inputs)'!$H$19/100)</f>
        <v>0.097719285</v>
      </c>
      <c r="J19" s="1" t="n">
        <f aca="false">Constants!$C$25*((1+Constants!$C$17*$B$19+Constants!$C$18*$B$19^2)+(1+Constants!$C$17*$B$19+Constants!$C$18*$B$19^2))</f>
        <v>0.0016929297</v>
      </c>
    </row>
    <row r="20" customFormat="false" ht="15" hidden="false" customHeight="true" outlineLevel="0" collapsed="false">
      <c r="A20" s="1" t="n">
        <v>18</v>
      </c>
      <c r="B20" s="1" t="n">
        <f aca="false">'Run Matrix (Inputs)'!$H$20/100/2</f>
        <v>0.005</v>
      </c>
      <c r="C20" s="1" t="str">
        <f aca="false">IF(IFERROR(INDEX(Constants!$B$29:$B$34,MATCH('Run Matrix (Inputs)'!$F$20,Constants!$A$29:$A$34,0)),"")="","",IFERROR(INDEX(Constants!$B$29:$B$34,MATCH('Run Matrix (Inputs)'!$F$20,Constants!$A$29:$A$34,0)),""))</f>
        <v/>
      </c>
      <c r="D20" s="1" t="str">
        <f aca="false">IF(IFERROR(INDEX(Constants!$C$29:$C$34,MATCH('Run Matrix (Inputs)'!$F$20,Constants!$A$29:$A$34,0)),"")="","",IFERROR(INDEX(Constants!$C$29:$C$34,MATCH('Run Matrix (Inputs)'!$F$20,Constants!$A$29:$A$34,0)),""))</f>
        <v/>
      </c>
      <c r="E20" s="1" t="str">
        <f aca="false">IF(IFERROR(INDEX(Constants!$B$29:$B$34,MATCH('Run Matrix (Inputs)'!$G$20,Constants!$A$29:$A$34,0)),"")="","",IFERROR(INDEX(Constants!$B$29:$B$34,MATCH('Run Matrix (Inputs)'!$G$20,Constants!$A$29:$A$34,0)),""))</f>
        <v/>
      </c>
      <c r="F20" s="1" t="str">
        <f aca="false">IF(IFERROR(INDEX(Constants!$C$29:$C$34,MATCH('Run Matrix (Inputs)'!$G$20,Constants!$A$29:$A$34,0)),"")="","",IFERROR(INDEX(Constants!$C$29:$C$34,MATCH('Run Matrix (Inputs)'!$G$20,Constants!$A$29:$A$34,0)),""))</f>
        <v/>
      </c>
      <c r="G20" s="1" t="str">
        <f aca="false">IF(OR($C$20="",$E$20=""),"",(1-'Run Matrix (Inputs)'!$H$20/100)*Constants!$C$22+$B$20*$C$20+$B$20*$E$20)</f>
        <v/>
      </c>
      <c r="H20" s="1" t="str">
        <f aca="false">IF(OR(OR($C$20="",$E$20=""),$G$20=""),"",((1-'Run Matrix (Inputs)'!$H$20/100)*Constants!$C$22*Constants!$C$23+$B$20*$C$20*$D$20+$B$20*$E$20*$F$20)/$G$20)</f>
        <v/>
      </c>
      <c r="I20" s="1" t="n">
        <f aca="false">Constants!$C$24*(1+Constants!$C$16*'Run Matrix (Inputs)'!$H$20/100)</f>
        <v>0.09933857</v>
      </c>
      <c r="J20" s="1" t="n">
        <f aca="false">Constants!$C$25*((1+Constants!$C$17*$B$20+Constants!$C$18*$B$20^2)+(1+Constants!$C$17*$B$20+Constants!$C$18*$B$20^2))</f>
        <v>0.0017157588</v>
      </c>
    </row>
    <row r="21" customFormat="false" ht="15" hidden="false" customHeight="true" outlineLevel="0" collapsed="false">
      <c r="A21" s="1" t="n">
        <v>19</v>
      </c>
      <c r="B21" s="1" t="n">
        <f aca="false">'Run Matrix (Inputs)'!$H$21/100/2</f>
        <v>0.01</v>
      </c>
      <c r="C21" s="1" t="str">
        <f aca="false">IF(IFERROR(INDEX(Constants!$B$29:$B$34,MATCH('Run Matrix (Inputs)'!$F$21,Constants!$A$29:$A$34,0)),"")="","",IFERROR(INDEX(Constants!$B$29:$B$34,MATCH('Run Matrix (Inputs)'!$F$21,Constants!$A$29:$A$34,0)),""))</f>
        <v/>
      </c>
      <c r="D21" s="1" t="str">
        <f aca="false">IF(IFERROR(INDEX(Constants!$C$29:$C$34,MATCH('Run Matrix (Inputs)'!$F$21,Constants!$A$29:$A$34,0)),"")="","",IFERROR(INDEX(Constants!$C$29:$C$34,MATCH('Run Matrix (Inputs)'!$F$21,Constants!$A$29:$A$34,0)),""))</f>
        <v/>
      </c>
      <c r="E21" s="1" t="str">
        <f aca="false">IF(IFERROR(INDEX(Constants!$B$29:$B$34,MATCH('Run Matrix (Inputs)'!$G$21,Constants!$A$29:$A$34,0)),"")="","",IFERROR(INDEX(Constants!$B$29:$B$34,MATCH('Run Matrix (Inputs)'!$G$21,Constants!$A$29:$A$34,0)),""))</f>
        <v/>
      </c>
      <c r="F21" s="1" t="str">
        <f aca="false">IF(IFERROR(INDEX(Constants!$C$29:$C$34,MATCH('Run Matrix (Inputs)'!$G$21,Constants!$A$29:$A$34,0)),"")="","",IFERROR(INDEX(Constants!$C$29:$C$34,MATCH('Run Matrix (Inputs)'!$G$21,Constants!$A$29:$A$34,0)),""))</f>
        <v/>
      </c>
      <c r="G21" s="1" t="str">
        <f aca="false">IF(OR($C$21="",$E$21=""),"",(1-'Run Matrix (Inputs)'!$H$21/100)*Constants!$C$22+$B$21*$C$21+$B$21*$E$21)</f>
        <v/>
      </c>
      <c r="H21" s="1" t="str">
        <f aca="false">IF(OR(OR($C$21="",$E$21=""),$G$21=""),"",((1-'Run Matrix (Inputs)'!$H$21/100)*Constants!$C$22*Constants!$C$23+$B$21*$C$21*$D$21+$B$21*$E$21*$F$21)/$G$21)</f>
        <v/>
      </c>
      <c r="I21" s="1" t="n">
        <f aca="false">Constants!$C$24*(1+Constants!$C$16*'Run Matrix (Inputs)'!$H$21/100)</f>
        <v>0.10257714</v>
      </c>
      <c r="J21" s="1" t="n">
        <f aca="false">Constants!$C$25*((1+Constants!$C$17*$B$21+Constants!$C$18*$B$21^2)+(1+Constants!$C$17*$B$21+Constants!$C$18*$B$21^2))</f>
        <v>0.0017911152</v>
      </c>
    </row>
    <row r="22" customFormat="false" ht="15" hidden="false" customHeight="true" outlineLevel="0" collapsed="false">
      <c r="A22" s="1" t="n">
        <v>20</v>
      </c>
      <c r="B22" s="1" t="n">
        <v>0.0025</v>
      </c>
      <c r="C22" s="1" t="n">
        <v>5180</v>
      </c>
      <c r="D22" s="1" t="n">
        <v>670</v>
      </c>
      <c r="E22" s="1" t="n">
        <v>1800</v>
      </c>
      <c r="F22" s="1" t="n">
        <v>717</v>
      </c>
      <c r="G22" s="1" t="n">
        <v>760.914</v>
      </c>
      <c r="H22" s="1" t="n">
        <v>1932.65</v>
      </c>
      <c r="I22" s="1" t="n">
        <v>0.09772</v>
      </c>
      <c r="J22" s="1" t="n">
        <v>0.0016929</v>
      </c>
    </row>
    <row r="23" customFormat="false" ht="15" hidden="false" customHeight="true" outlineLevel="0" collapsed="false">
      <c r="A23" s="1" t="n">
        <v>21</v>
      </c>
      <c r="B23" s="1" t="n">
        <f aca="false">'Run Matrix (Inputs)'!$H$23/100/2</f>
        <v>0.005</v>
      </c>
      <c r="C23" s="1" t="str">
        <f aca="false">IF(IFERROR(INDEX(Constants!$B$29:$B$34,MATCH('Run Matrix (Inputs)'!$F$23,Constants!$A$29:$A$34,0)),"")="","",IFERROR(INDEX(Constants!$B$29:$B$34,MATCH('Run Matrix (Inputs)'!$F$23,Constants!$A$29:$A$34,0)),""))</f>
        <v/>
      </c>
      <c r="D23" s="1" t="str">
        <f aca="false">IF(IFERROR(INDEX(Constants!$C$29:$C$34,MATCH('Run Matrix (Inputs)'!$F$23,Constants!$A$29:$A$34,0)),"")="","",IFERROR(INDEX(Constants!$C$29:$C$34,MATCH('Run Matrix (Inputs)'!$F$23,Constants!$A$29:$A$34,0)),""))</f>
        <v/>
      </c>
      <c r="E23" s="1" t="str">
        <f aca="false">IF(IFERROR(INDEX(Constants!$B$29:$B$34,MATCH('Run Matrix (Inputs)'!$G$23,Constants!$A$29:$A$34,0)),"")="","",IFERROR(INDEX(Constants!$B$29:$B$34,MATCH('Run Matrix (Inputs)'!$G$23,Constants!$A$29:$A$34,0)),""))</f>
        <v/>
      </c>
      <c r="F23" s="1" t="str">
        <f aca="false">IF(IFERROR(INDEX(Constants!$C$29:$C$34,MATCH('Run Matrix (Inputs)'!$G$23,Constants!$A$29:$A$34,0)),"")="","",IFERROR(INDEX(Constants!$C$29:$C$34,MATCH('Run Matrix (Inputs)'!$G$23,Constants!$A$29:$A$34,0)),""))</f>
        <v/>
      </c>
      <c r="G23" s="1" t="str">
        <f aca="false">IF(OR($C$23="",$E$23=""),"",(1-'Run Matrix (Inputs)'!$H$23/100)*Constants!$C$22+$B$23*$C$23+$B$23*$E$23)</f>
        <v/>
      </c>
      <c r="H23" s="1" t="str">
        <f aca="false">IF(OR(OR($C$23="",$E$23=""),$G$23=""),"",((1-'Run Matrix (Inputs)'!$H$23/100)*Constants!$C$22*Constants!$C$23+$B$23*$C$23*$D$23+$B$23*$E$23*$F$23)/$G$23)</f>
        <v/>
      </c>
      <c r="I23" s="1" t="n">
        <f aca="false">Constants!$C$24*(1+Constants!$C$16*'Run Matrix (Inputs)'!$H$23/100)</f>
        <v>0.09933857</v>
      </c>
      <c r="J23" s="1" t="n">
        <f aca="false">Constants!$C$25*((1+Constants!$C$17*$B$23+Constants!$C$18*$B$23^2)+(1+Constants!$C$17*$B$23+Constants!$C$18*$B$23^2))</f>
        <v>0.0017157588</v>
      </c>
    </row>
    <row r="24" customFormat="false" ht="15" hidden="false" customHeight="true" outlineLevel="0" collapsed="false">
      <c r="A24" s="1" t="n">
        <v>22</v>
      </c>
      <c r="B24" s="1" t="n">
        <v>0.005</v>
      </c>
      <c r="C24" s="1" t="n">
        <v>5180</v>
      </c>
      <c r="D24" s="1" t="n">
        <v>670</v>
      </c>
      <c r="E24" s="1" t="n">
        <v>1800</v>
      </c>
      <c r="F24" s="1" t="n">
        <v>717</v>
      </c>
      <c r="G24" s="1" t="n">
        <v>774.628</v>
      </c>
      <c r="H24" s="1" t="n">
        <v>1904.34</v>
      </c>
      <c r="I24" s="1" t="n">
        <v>0.09934</v>
      </c>
      <c r="J24" s="1" t="n">
        <v>0.0017158</v>
      </c>
    </row>
    <row r="25" customFormat="false" ht="15" hidden="false" customHeight="true" outlineLevel="0" collapsed="false">
      <c r="A25" s="1" t="n">
        <v>23</v>
      </c>
      <c r="B25" s="1" t="n">
        <f aca="false">'Run Matrix (Inputs)'!$H$25/100/2</f>
        <v>0.01</v>
      </c>
      <c r="C25" s="1" t="str">
        <f aca="false">IF(IFERROR(INDEX(Constants!$B$29:$B$34,MATCH('Run Matrix (Inputs)'!$F$25,Constants!$A$29:$A$34,0)),"")="","",IFERROR(INDEX(Constants!$B$29:$B$34,MATCH('Run Matrix (Inputs)'!$F$25,Constants!$A$29:$A$34,0)),""))</f>
        <v/>
      </c>
      <c r="D25" s="1" t="str">
        <f aca="false">IF(IFERROR(INDEX(Constants!$C$29:$C$34,MATCH('Run Matrix (Inputs)'!$F$25,Constants!$A$29:$A$34,0)),"")="","",IFERROR(INDEX(Constants!$C$29:$C$34,MATCH('Run Matrix (Inputs)'!$F$25,Constants!$A$29:$A$34,0)),""))</f>
        <v/>
      </c>
      <c r="E25" s="1" t="str">
        <f aca="false">IF(IFERROR(INDEX(Constants!$B$29:$B$34,MATCH('Run Matrix (Inputs)'!$G$25,Constants!$A$29:$A$34,0)),"")="","",IFERROR(INDEX(Constants!$B$29:$B$34,MATCH('Run Matrix (Inputs)'!$G$25,Constants!$A$29:$A$34,0)),""))</f>
        <v/>
      </c>
      <c r="F25" s="1" t="str">
        <f aca="false">IF(IFERROR(INDEX(Constants!$C$29:$C$34,MATCH('Run Matrix (Inputs)'!$G$25,Constants!$A$29:$A$34,0)),"")="","",IFERROR(INDEX(Constants!$C$29:$C$34,MATCH('Run Matrix (Inputs)'!$G$25,Constants!$A$29:$A$34,0)),""))</f>
        <v/>
      </c>
      <c r="G25" s="1" t="str">
        <f aca="false">IF(OR($C$25="",$E$25=""),"",(1-'Run Matrix (Inputs)'!$H$25/100)*Constants!$C$22+$B$25*$C$25+$B$25*$E$25)</f>
        <v/>
      </c>
      <c r="H25" s="1" t="str">
        <f aca="false">IF(OR(OR($C$25="",$E$25=""),$G$25=""),"",((1-'Run Matrix (Inputs)'!$H$25/100)*Constants!$C$22*Constants!$C$23+$B$25*$C$25*$D$25+$B$25*$E$25*$F$25)/$G$25)</f>
        <v/>
      </c>
      <c r="I25" s="1" t="n">
        <f aca="false">Constants!$C$24*(1+Constants!$C$16*'Run Matrix (Inputs)'!$H$25/100)</f>
        <v>0.10257714</v>
      </c>
      <c r="J25" s="1" t="n">
        <f aca="false">Constants!$C$25*((1+Constants!$C$17*$B$25+Constants!$C$18*$B$25^2)+(1+Constants!$C$17*$B$25+Constants!$C$18*$B$25^2))</f>
        <v>0.0017911152</v>
      </c>
    </row>
    <row r="26" customFormat="false" ht="15" hidden="false" customHeight="true" outlineLevel="0" collapsed="false">
      <c r="A26" s="1" t="n">
        <v>24</v>
      </c>
      <c r="B26" s="1" t="n">
        <f aca="false">'Run Matrix (Inputs)'!$H$26/100/2</f>
        <v>0.0025</v>
      </c>
      <c r="C26" s="1" t="str">
        <f aca="false">IF(IFERROR(INDEX(Constants!$B$29:$B$34,MATCH('Run Matrix (Inputs)'!$F$26,Constants!$A$29:$A$34,0)),"")="","",IFERROR(INDEX(Constants!$B$29:$B$34,MATCH('Run Matrix (Inputs)'!$F$26,Constants!$A$29:$A$34,0)),""))</f>
        <v/>
      </c>
      <c r="D26" s="1" t="str">
        <f aca="false">IF(IFERROR(INDEX(Constants!$C$29:$C$34,MATCH('Run Matrix (Inputs)'!$F$26,Constants!$A$29:$A$34,0)),"")="","",IFERROR(INDEX(Constants!$C$29:$C$34,MATCH('Run Matrix (Inputs)'!$F$26,Constants!$A$29:$A$34,0)),""))</f>
        <v/>
      </c>
      <c r="E26" s="1" t="str">
        <f aca="false">IF(IFERROR(INDEX(Constants!$B$29:$B$34,MATCH('Run Matrix (Inputs)'!$G$26,Constants!$A$29:$A$34,0)),"")="","",IFERROR(INDEX(Constants!$B$29:$B$34,MATCH('Run Matrix (Inputs)'!$G$26,Constants!$A$29:$A$34,0)),""))</f>
        <v/>
      </c>
      <c r="F26" s="1" t="str">
        <f aca="false">IF(IFERROR(INDEX(Constants!$C$29:$C$34,MATCH('Run Matrix (Inputs)'!$G$26,Constants!$A$29:$A$34,0)),"")="","",IFERROR(INDEX(Constants!$C$29:$C$34,MATCH('Run Matrix (Inputs)'!$G$26,Constants!$A$29:$A$34,0)),""))</f>
        <v/>
      </c>
      <c r="G26" s="1" t="str">
        <f aca="false">IF(OR($C$26="",$E$26=""),"",(1-'Run Matrix (Inputs)'!$H$26/100)*Constants!$C$22+$B$26*$C$26+$B$26*$E$26)</f>
        <v/>
      </c>
      <c r="H26" s="1" t="str">
        <f aca="false">IF(OR(OR($C$26="",$E$26=""),$G$26=""),"",((1-'Run Matrix (Inputs)'!$H$26/100)*Constants!$C$22*Constants!$C$23+$B$26*$C$26*$D$26+$B$26*$E$26*$F$26)/$G$26)</f>
        <v/>
      </c>
      <c r="I26" s="1" t="n">
        <f aca="false">Constants!$C$24*(1+Constants!$C$16*'Run Matrix (Inputs)'!$H$26/100)</f>
        <v>0.097719285</v>
      </c>
      <c r="J26" s="1" t="n">
        <f aca="false">Constants!$C$25*((1+Constants!$C$17*$B$26+Constants!$C$18*$B$26^2)+(1+Constants!$C$17*$B$26+Constants!$C$18*$B$26^2))</f>
        <v>0.0016929297</v>
      </c>
    </row>
    <row r="27" customFormat="false" ht="15" hidden="false" customHeight="true" outlineLevel="0" collapsed="false">
      <c r="A27" s="1" t="n">
        <v>25</v>
      </c>
      <c r="B27" s="1" t="n">
        <f aca="false">'Run Matrix (Inputs)'!$H$27/100/2</f>
        <v>0.0025</v>
      </c>
      <c r="C27" s="1" t="str">
        <f aca="false">IF(IFERROR(INDEX(Constants!$B$29:$B$34,MATCH('Run Matrix (Inputs)'!$F$27,Constants!$A$29:$A$34,0)),"")="","",IFERROR(INDEX(Constants!$B$29:$B$34,MATCH('Run Matrix (Inputs)'!$F$27,Constants!$A$29:$A$34,0)),""))</f>
        <v/>
      </c>
      <c r="D27" s="1" t="str">
        <f aca="false">IF(IFERROR(INDEX(Constants!$C$29:$C$34,MATCH('Run Matrix (Inputs)'!$F$27,Constants!$A$29:$A$34,0)),"")="","",IFERROR(INDEX(Constants!$C$29:$C$34,MATCH('Run Matrix (Inputs)'!$F$27,Constants!$A$29:$A$34,0)),""))</f>
        <v/>
      </c>
      <c r="E27" s="1" t="str">
        <f aca="false">IF(IFERROR(INDEX(Constants!$B$29:$B$34,MATCH('Run Matrix (Inputs)'!$G$27,Constants!$A$29:$A$34,0)),"")="","",IFERROR(INDEX(Constants!$B$29:$B$34,MATCH('Run Matrix (Inputs)'!$G$27,Constants!$A$29:$A$34,0)),""))</f>
        <v/>
      </c>
      <c r="F27" s="1" t="str">
        <f aca="false">IF(IFERROR(INDEX(Constants!$C$29:$C$34,MATCH('Run Matrix (Inputs)'!$G$27,Constants!$A$29:$A$34,0)),"")="","",IFERROR(INDEX(Constants!$C$29:$C$34,MATCH('Run Matrix (Inputs)'!$G$27,Constants!$A$29:$A$34,0)),""))</f>
        <v/>
      </c>
      <c r="G27" s="1" t="str">
        <f aca="false">IF(OR($C$27="",$E$27=""),"",(1-'Run Matrix (Inputs)'!$H$27/100)*Constants!$C$22+$B$27*$C$27+$B$27*$E$27)</f>
        <v/>
      </c>
      <c r="H27" s="1" t="str">
        <f aca="false">IF(OR(OR($C$27="",$E$27=""),$G$27=""),"",((1-'Run Matrix (Inputs)'!$H$27/100)*Constants!$C$22*Constants!$C$23+$B$27*$C$27*$D$27+$B$27*$E$27*$F$27)/$G$27)</f>
        <v/>
      </c>
      <c r="I27" s="1" t="n">
        <f aca="false">Constants!$C$24*(1+Constants!$C$16*'Run Matrix (Inputs)'!$H$27/100)</f>
        <v>0.097719285</v>
      </c>
      <c r="J27" s="1" t="n">
        <f aca="false">Constants!$C$25*((1+Constants!$C$17*$B$27+Constants!$C$18*$B$27^2)+(1+Constants!$C$17*$B$27+Constants!$C$18*$B$27^2))</f>
        <v>0.0016929297</v>
      </c>
    </row>
    <row r="28" customFormat="false" ht="15" hidden="false" customHeight="true" outlineLevel="0" collapsed="false">
      <c r="A28" s="1" t="n">
        <v>26</v>
      </c>
      <c r="B28" s="1" t="n">
        <f aca="false">'Run Matrix (Inputs)'!$H$28/100/2</f>
        <v>0.005</v>
      </c>
      <c r="C28" s="1" t="str">
        <f aca="false">IF(IFERROR(INDEX(Constants!$B$29:$B$34,MATCH('Run Matrix (Inputs)'!$F$28,Constants!$A$29:$A$34,0)),"")="","",IFERROR(INDEX(Constants!$B$29:$B$34,MATCH('Run Matrix (Inputs)'!$F$28,Constants!$A$29:$A$34,0)),""))</f>
        <v/>
      </c>
      <c r="D28" s="1" t="str">
        <f aca="false">IF(IFERROR(INDEX(Constants!$C$29:$C$34,MATCH('Run Matrix (Inputs)'!$F$28,Constants!$A$29:$A$34,0)),"")="","",IFERROR(INDEX(Constants!$C$29:$C$34,MATCH('Run Matrix (Inputs)'!$F$28,Constants!$A$29:$A$34,0)),""))</f>
        <v/>
      </c>
      <c r="E28" s="1" t="str">
        <f aca="false">IF(IFERROR(INDEX(Constants!$B$29:$B$34,MATCH('Run Matrix (Inputs)'!$G$28,Constants!$A$29:$A$34,0)),"")="","",IFERROR(INDEX(Constants!$B$29:$B$34,MATCH('Run Matrix (Inputs)'!$G$28,Constants!$A$29:$A$34,0)),""))</f>
        <v/>
      </c>
      <c r="F28" s="1" t="str">
        <f aca="false">IF(IFERROR(INDEX(Constants!$C$29:$C$34,MATCH('Run Matrix (Inputs)'!$G$28,Constants!$A$29:$A$34,0)),"")="","",IFERROR(INDEX(Constants!$C$29:$C$34,MATCH('Run Matrix (Inputs)'!$G$28,Constants!$A$29:$A$34,0)),""))</f>
        <v/>
      </c>
      <c r="G28" s="1" t="str">
        <f aca="false">IF(OR($C$28="",$E$28=""),"",(1-'Run Matrix (Inputs)'!$H$28/100)*Constants!$C$22+$B$28*$C$28+$B$28*$E$28)</f>
        <v/>
      </c>
      <c r="H28" s="1" t="str">
        <f aca="false">IF(OR(OR($C$28="",$E$28=""),$G$28=""),"",((1-'Run Matrix (Inputs)'!$H$28/100)*Constants!$C$22*Constants!$C$23+$B$28*$C$28*$D$28+$B$28*$E$28*$F$28)/$G$28)</f>
        <v/>
      </c>
      <c r="I28" s="1" t="n">
        <f aca="false">Constants!$C$24*(1+Constants!$C$16*'Run Matrix (Inputs)'!$H$28/100)</f>
        <v>0.09933857</v>
      </c>
      <c r="J28" s="1" t="n">
        <f aca="false">Constants!$C$25*((1+Constants!$C$17*$B$28+Constants!$C$18*$B$28^2)+(1+Constants!$C$17*$B$28+Constants!$C$18*$B$28^2))</f>
        <v>0.0017157588</v>
      </c>
    </row>
    <row r="29" customFormat="false" ht="15" hidden="false" customHeight="true" outlineLevel="0" collapsed="false">
      <c r="A29" s="1" t="n">
        <v>27</v>
      </c>
      <c r="B29" s="1" t="n">
        <v>0.01</v>
      </c>
      <c r="C29" s="1" t="n">
        <v>5180</v>
      </c>
      <c r="D29" s="1" t="n">
        <v>670</v>
      </c>
      <c r="E29" s="1" t="n">
        <v>1800</v>
      </c>
      <c r="F29" s="1" t="n">
        <v>717</v>
      </c>
      <c r="G29" s="1" t="n">
        <v>802.056</v>
      </c>
      <c r="H29" s="1" t="n">
        <v>1850.62</v>
      </c>
      <c r="I29" s="1" t="n">
        <v>0.102577</v>
      </c>
      <c r="J29" s="1" t="n">
        <v>0.0017911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16" min="2" style="1" width="15"/>
  </cols>
  <sheetData>
    <row r="1" customFormat="false" ht="15" hidden="false" customHeight="true" outlineLevel="0" collapsed="false">
      <c r="A1" s="3" t="s">
        <v>88</v>
      </c>
      <c r="B1" s="3" t="s">
        <v>128</v>
      </c>
      <c r="C1" s="3" t="s">
        <v>129</v>
      </c>
      <c r="D1" s="3" t="s">
        <v>130</v>
      </c>
      <c r="E1" s="3" t="s">
        <v>131</v>
      </c>
      <c r="F1" s="3" t="s">
        <v>132</v>
      </c>
      <c r="G1" s="3" t="s">
        <v>133</v>
      </c>
      <c r="H1" s="3" t="s">
        <v>134</v>
      </c>
      <c r="I1" s="3" t="s">
        <v>135</v>
      </c>
      <c r="J1" s="3" t="s">
        <v>136</v>
      </c>
      <c r="K1" s="3" t="s">
        <v>137</v>
      </c>
      <c r="L1" s="3" t="s">
        <v>138</v>
      </c>
      <c r="M1" s="3" t="s">
        <v>139</v>
      </c>
      <c r="N1" s="3" t="s">
        <v>140</v>
      </c>
      <c r="O1" s="3" t="s">
        <v>141</v>
      </c>
      <c r="P1" s="3" t="s">
        <v>142</v>
      </c>
    </row>
    <row r="2" customFormat="false" ht="15" hidden="false" customHeight="true" outlineLevel="0" collapsed="false">
      <c r="A2" s="1" t="s">
        <v>103</v>
      </c>
      <c r="B2" s="4" t="n">
        <v>0.41748124</v>
      </c>
      <c r="C2" s="4" t="n">
        <v>0.41747989</v>
      </c>
      <c r="D2" s="4" t="n">
        <v>10.590583</v>
      </c>
      <c r="E2" s="4" t="n">
        <v>0</v>
      </c>
      <c r="F2" s="4" t="n">
        <v>500</v>
      </c>
      <c r="G2" s="4" t="n">
        <v>519.09171</v>
      </c>
      <c r="H2" s="4" t="n">
        <v>660.03433</v>
      </c>
      <c r="I2" s="4" t="n">
        <v>0.07788985</v>
      </c>
      <c r="J2" s="4" t="n">
        <v>35607.497</v>
      </c>
      <c r="K2" s="4" t="n">
        <v>16106.493</v>
      </c>
      <c r="L2" s="4" t="n">
        <v>0.072958528</v>
      </c>
      <c r="M2" s="4" t="n">
        <v>0.61857802</v>
      </c>
      <c r="N2" s="4"/>
      <c r="O2" s="4"/>
      <c r="P2" s="4"/>
    </row>
    <row r="3" customFormat="false" ht="15" hidden="false" customHeight="true" outlineLevel="0" collapsed="false">
      <c r="A3" s="1" t="n">
        <v>1</v>
      </c>
      <c r="B3" s="4" t="n">
        <v>0.85275274</v>
      </c>
      <c r="C3" s="4" t="n">
        <v>0.85274808</v>
      </c>
      <c r="D3" s="4" t="n">
        <v>109.25306</v>
      </c>
      <c r="E3" s="4" t="n">
        <v>0</v>
      </c>
      <c r="F3" s="4" t="n">
        <v>500</v>
      </c>
      <c r="G3" s="4" t="n">
        <v>509.3496</v>
      </c>
      <c r="H3" s="4" t="n">
        <v>598.59308</v>
      </c>
      <c r="I3" s="4" t="n">
        <v>0.43263814</v>
      </c>
      <c r="J3" s="4" t="n">
        <v>35606.134</v>
      </c>
      <c r="K3" s="4" t="n">
        <v>15656.949</v>
      </c>
      <c r="L3" s="4" t="n">
        <v>0.07250699</v>
      </c>
      <c r="M3" s="4" t="n">
        <v>0.69737631</v>
      </c>
      <c r="N3" s="4"/>
      <c r="O3" s="4"/>
      <c r="P3" s="4"/>
    </row>
    <row r="4" customFormat="false" ht="15" hidden="false" customHeight="true" outlineLevel="0" collapsed="false">
      <c r="A4" s="1" t="n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customFormat="false" ht="15" hidden="false" customHeight="true" outlineLevel="0" collapsed="false">
      <c r="A5" s="1" t="n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customFormat="false" ht="15" hidden="false" customHeight="true" outlineLevel="0" collapsed="false">
      <c r="A6" s="1" t="n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customFormat="false" ht="15" hidden="false" customHeight="true" outlineLevel="0" collapsed="false">
      <c r="A7" s="1" t="n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customFormat="false" ht="15" hidden="false" customHeight="true" outlineLevel="0" collapsed="false">
      <c r="A8" s="1" t="n">
        <v>6</v>
      </c>
      <c r="B8" s="4" t="n">
        <v>0.81956674</v>
      </c>
      <c r="C8" s="4" t="n">
        <v>0.81953926</v>
      </c>
      <c r="D8" s="4" t="n">
        <v>212.57862</v>
      </c>
      <c r="E8" s="4" t="n">
        <v>0</v>
      </c>
      <c r="F8" s="4" t="n">
        <v>500</v>
      </c>
      <c r="G8" s="4" t="n">
        <v>510.15269</v>
      </c>
      <c r="H8" s="4" t="n">
        <v>618.87187</v>
      </c>
      <c r="I8" s="4" t="n">
        <v>0.71498517</v>
      </c>
      <c r="J8" s="4" t="n">
        <v>35610.415</v>
      </c>
      <c r="K8" s="4" t="n">
        <v>15659.348</v>
      </c>
      <c r="L8" s="4" t="n">
        <v>0.046114454</v>
      </c>
      <c r="M8" s="4" t="n">
        <v>0.49609798</v>
      </c>
      <c r="N8" s="4"/>
      <c r="O8" s="4"/>
      <c r="P8" s="4"/>
    </row>
    <row r="9" customFormat="false" ht="15" hidden="false" customHeight="true" outlineLevel="0" collapsed="false">
      <c r="A9" s="1" t="n">
        <v>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customFormat="false" ht="15" hidden="false" customHeight="true" outlineLevel="0" collapsed="false">
      <c r="A10" s="5" t="n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customFormat="false" ht="15" hidden="false" customHeight="true" outlineLevel="0" collapsed="false">
      <c r="A11" s="1" t="n">
        <v>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customFormat="false" ht="15" hidden="false" customHeight="true" outlineLevel="0" collapsed="false">
      <c r="A12" s="1" t="n">
        <v>10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customFormat="false" ht="15" hidden="false" customHeight="true" outlineLevel="0" collapsed="false">
      <c r="A13" s="1" t="n">
        <v>11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customFormat="false" ht="15" hidden="false" customHeight="true" outlineLevel="0" collapsed="false">
      <c r="A14" s="1" t="n">
        <v>12</v>
      </c>
      <c r="B14" s="4" t="n">
        <v>0.85199436</v>
      </c>
      <c r="C14" s="4" t="n">
        <v>0.85202275</v>
      </c>
      <c r="D14" s="4" t="n">
        <v>128.01882</v>
      </c>
      <c r="E14" s="4" t="n">
        <v>0</v>
      </c>
      <c r="F14" s="4" t="n">
        <v>500</v>
      </c>
      <c r="G14" s="4" t="n">
        <v>509.55327</v>
      </c>
      <c r="H14" s="4" t="n">
        <v>636.55458</v>
      </c>
      <c r="I14" s="4" t="n">
        <v>0.55386734</v>
      </c>
      <c r="J14" s="4" t="n">
        <v>35606.134</v>
      </c>
      <c r="K14" s="4" t="n">
        <v>15656.949</v>
      </c>
      <c r="L14" s="4" t="n">
        <v>0.040340282</v>
      </c>
      <c r="M14" s="4" t="n">
        <v>0.49711385</v>
      </c>
      <c r="N14" s="4"/>
      <c r="O14" s="4"/>
      <c r="P14" s="4"/>
    </row>
    <row r="15" customFormat="false" ht="15" hidden="false" customHeight="true" outlineLevel="0" collapsed="false">
      <c r="A15" s="1" t="n">
        <v>13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customFormat="false" ht="15" hidden="false" customHeight="true" outlineLevel="0" collapsed="false">
      <c r="A16" s="1" t="n">
        <v>14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customFormat="false" ht="15" hidden="false" customHeight="true" outlineLevel="0" collapsed="false">
      <c r="A17" s="1" t="n">
        <v>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customFormat="false" ht="15" hidden="false" customHeight="true" outlineLevel="0" collapsed="false">
      <c r="A18" s="5" t="n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customFormat="false" ht="15" hidden="false" customHeight="true" outlineLevel="0" collapsed="false">
      <c r="A19" s="1" t="n">
        <v>17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customFormat="false" ht="15" hidden="false" customHeight="true" outlineLevel="0" collapsed="false">
      <c r="A20" s="1" t="n">
        <v>18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customFormat="false" ht="15" hidden="false" customHeight="true" outlineLevel="0" collapsed="false">
      <c r="A21" s="1" t="n">
        <v>19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customFormat="false" ht="15" hidden="false" customHeight="true" outlineLevel="0" collapsed="false">
      <c r="A22" s="1" t="n">
        <v>20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customFormat="false" ht="15" hidden="false" customHeight="true" outlineLevel="0" collapsed="false">
      <c r="A23" s="1" t="n">
        <v>21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customFormat="false" ht="15" hidden="false" customHeight="true" outlineLevel="0" collapsed="false">
      <c r="A24" s="1" t="n">
        <v>22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customFormat="false" ht="15" hidden="false" customHeight="true" outlineLevel="0" collapsed="false">
      <c r="A25" s="1" t="n">
        <v>23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customFormat="false" ht="15" hidden="false" customHeight="true" outlineLevel="0" collapsed="false">
      <c r="A26" s="1" t="n">
        <v>24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customFormat="false" ht="15" hidden="false" customHeight="true" outlineLevel="0" collapsed="false">
      <c r="A27" s="1" t="n">
        <v>25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customFormat="false" ht="15" hidden="false" customHeight="true" outlineLevel="0" collapsed="false">
      <c r="A28" s="1" t="n">
        <v>26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customFormat="false" ht="15" hidden="false" customHeight="true" outlineLevel="0" collapsed="false">
      <c r="A29" s="1" t="n">
        <v>27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17" min="2" style="1" width="13"/>
  </cols>
  <sheetData>
    <row r="1" customFormat="false" ht="15" hidden="false" customHeight="true" outlineLevel="0" collapsed="false">
      <c r="A1" s="3" t="s">
        <v>88</v>
      </c>
      <c r="B1" s="3" t="s">
        <v>143</v>
      </c>
      <c r="C1" s="3" t="s">
        <v>144</v>
      </c>
      <c r="D1" s="3" t="s">
        <v>145</v>
      </c>
      <c r="E1" s="3" t="s">
        <v>146</v>
      </c>
      <c r="F1" s="3" t="s">
        <v>147</v>
      </c>
      <c r="G1" s="3" t="s">
        <v>148</v>
      </c>
      <c r="H1" s="3" t="s">
        <v>149</v>
      </c>
      <c r="I1" s="3" t="s">
        <v>150</v>
      </c>
      <c r="J1" s="3" t="s">
        <v>151</v>
      </c>
      <c r="K1" s="3" t="s">
        <v>152</v>
      </c>
      <c r="L1" s="3" t="s">
        <v>153</v>
      </c>
      <c r="M1" s="3" t="s">
        <v>154</v>
      </c>
      <c r="N1" s="3" t="s">
        <v>155</v>
      </c>
      <c r="O1" s="3" t="s">
        <v>156</v>
      </c>
      <c r="P1" s="3" t="s">
        <v>157</v>
      </c>
      <c r="Q1" s="3" t="s">
        <v>158</v>
      </c>
    </row>
    <row r="2" customFormat="false" ht="15" hidden="false" customHeight="true" outlineLevel="0" collapsed="false">
      <c r="A2" s="1" t="s">
        <v>103</v>
      </c>
      <c r="B2" s="1" t="n">
        <f aca="false">PI()*Constants!$C$4^2/4</f>
        <v>0.00342119439975929</v>
      </c>
      <c r="C2" s="1" t="n">
        <f aca="false">IFERROR('Fluent Raw Results'!$B$2/('Fluid Properties'!$G$2*$B$2),"")</f>
        <v>0.163313598792416</v>
      </c>
      <c r="D2" s="1" t="n">
        <f aca="false">IFERROR('Fluid Properties'!$G$2*$C$2*Constants!$C$4/'Fluid Properties'!$J$2,"")</f>
        <v>9587.9080799616</v>
      </c>
      <c r="E2" s="1" t="n">
        <f aca="false">IF(OR('Fluent Raw Results'!$F$2="",'Fluent Raw Results'!$G$2=""),"",('Fluent Raw Results'!$F$2+'Fluent Raw Results'!$G$2)/2)</f>
        <v>509.545855</v>
      </c>
      <c r="F2" s="1" t="n">
        <f aca="false">IF(OR('Fluent Raw Results'!$D$2="",'Fluent Raw Results'!$E$2=""),"",'Fluent Raw Results'!$D$2-'Fluent Raw Results'!$E$2)</f>
        <v>10.590583</v>
      </c>
      <c r="G2" s="1" t="n">
        <f aca="false">IFERROR(2*'Fluent Raw Results'!$I$2/('Fluid Properties'!$G$2*$C$2^2),"")</f>
        <v>0.00781680542693282</v>
      </c>
      <c r="H2" s="1" t="n">
        <f aca="false">IFERROR('Fluent Raw Results'!$J$2/('Fluent Raw Results'!$H$2-$E$2),"")</f>
        <v>236.612783802879</v>
      </c>
      <c r="I2" s="1" t="n">
        <f aca="false">IFERROR($H$2*Constants!$C$4/'Fluid Properties'!$I$2,"")</f>
        <v>162.502015931218</v>
      </c>
      <c r="J2" s="1" t="n">
        <f aca="false">IFERROR('Fluent Raw Results'!$B$2*'Fluid Properties'!$H$2*('Fluent Raw Results'!$G$2-'Fluent Raw Results'!$F$2),"")</f>
        <v>15637.9851599891</v>
      </c>
      <c r="K2" s="1" t="n">
        <f aca="false">IFERROR(('Fluent Raw Results'!$B$2/'Fluid Properties'!$G$2)*$F$2,"")</f>
        <v>0.00591725070016451</v>
      </c>
      <c r="L2" s="1" t="n">
        <f aca="false">IFERROR(($J$2-$K$2/Constants!$C$13)/(Constants!$C$9*Constants!$C$10),"")</f>
        <v>0.398927689689287</v>
      </c>
      <c r="M2" s="1" t="n">
        <f aca="false">IFERROR('Fluent Raw Results'!$B$2*'Fluid Properties'!$H$2*(('Fluent Raw Results'!$G$2-'Fluent Raw Results'!$F$2)-Constants!$C$11*LN('Fluent Raw Results'!$G$2/'Fluent Raw Results'!$F$2))/(Constants!$C$9*Constants!$C$10*(1+(1/3)*(Constants!$C$11/Constants!$C$12)^4-(4/3)*(Constants!$C$11/Constants!$C$12))),"")</f>
        <v>0.176177681878176</v>
      </c>
      <c r="N2" s="1" t="s">
        <v>159</v>
      </c>
      <c r="O2" s="1" t="str">
        <f aca="false">IFERROR('Fluent Raw Results'!$O$2/'Fluent Raw Results'!$N$2,"")</f>
        <v/>
      </c>
      <c r="P2" s="1" t="s">
        <v>159</v>
      </c>
      <c r="Q2" s="1" t="n">
        <f aca="false">IFERROR(ABS('Fluent Raw Results'!$B$2-'Fluent Raw Results'!$C$2)/'Fluent Raw Results'!$B$2*100,"")</f>
        <v>0.000323367823654915</v>
      </c>
    </row>
    <row r="3" customFormat="false" ht="15" hidden="false" customHeight="true" outlineLevel="0" collapsed="false">
      <c r="A3" s="1" t="n">
        <v>1</v>
      </c>
      <c r="B3" s="1" t="n">
        <f aca="false">(PI()*Constants!$C$4^2/4-('Run Matrix (Inputs)'!$J$3/1000)^2)+('Run Matrix (Inputs)'!$L$3/1000)^2</f>
        <v>0.00338663439975929</v>
      </c>
      <c r="C3" s="1" t="n">
        <f aca="false">IFERROR('Fluent Raw Results'!$B$3/('Fluid Properties'!$G$3*$B$3),"")</f>
        <v>0.33091711803152</v>
      </c>
      <c r="D3" s="1" t="n">
        <f aca="false">IFERROR('Fluid Properties'!$G$3*$C$3*Constants!$C$4/'Fluid Properties'!$J$3,"")</f>
        <v>9816.57116931032</v>
      </c>
      <c r="E3" s="1" t="n">
        <f aca="false">IF(OR('Fluent Raw Results'!$F$3="",'Fluent Raw Results'!$G$3=""),"",('Fluent Raw Results'!$F$3+'Fluent Raw Results'!$G$3)/2)</f>
        <v>504.6748</v>
      </c>
      <c r="F3" s="1" t="n">
        <f aca="false">IF(OR('Fluent Raw Results'!$D$3="",'Fluent Raw Results'!$E$3=""),"",'Fluent Raw Results'!$D$3-'Fluent Raw Results'!$E$3)</f>
        <v>109.25306</v>
      </c>
      <c r="G3" s="1" t="n">
        <f aca="false">IFERROR(2*'Fluent Raw Results'!$I$3/('Fluid Properties'!$G$3*$C$3^2),"")</f>
        <v>0.0103843844212653</v>
      </c>
      <c r="H3" s="1" t="n">
        <f aca="false">IFERROR('Fluent Raw Results'!$J$3/('Fluent Raw Results'!$H$3-$E$3),"")</f>
        <v>379.118250461997</v>
      </c>
      <c r="I3" s="1" t="n">
        <f aca="false">IFERROR($H$3*Constants!$C$4/'Fluid Properties'!$I$3,"")</f>
        <v>256.057998485067</v>
      </c>
      <c r="J3" s="1" t="n">
        <f aca="false">IFERROR('Fluent Raw Results'!$B$3*'Fluid Properties'!$H$3*('Fluent Raw Results'!$G$3-'Fluent Raw Results'!$F$3),"")</f>
        <v>15408.8081671757</v>
      </c>
      <c r="K3" s="1" t="n">
        <f aca="false">IFERROR(('Fluent Raw Results'!$B$3/'Fluid Properties'!$G$3)*$F$3,"")</f>
        <v>0.12243939034948</v>
      </c>
      <c r="L3" s="1" t="n">
        <f aca="false">IFERROR(($J$3-$K$3/Constants!$C$13)/(Constants!$C$9*Constants!$C$10),"")</f>
        <v>0.393071429486596</v>
      </c>
      <c r="M3" s="1" t="n">
        <f aca="false">IFERROR('Fluent Raw Results'!$B$3*'Fluid Properties'!$H$3*(('Fluent Raw Results'!$G$3-'Fluent Raw Results'!$F$3)-Constants!$C$11*LN('Fluent Raw Results'!$G$3/'Fluent Raw Results'!$F$3))/(Constants!$C$9*Constants!$C$10*(1+(1/3)*(Constants!$C$11/Constants!$C$12)^4-(4/3)*(Constants!$C$11/Constants!$C$12))),"")</f>
        <v>0.171218484882064</v>
      </c>
      <c r="N3" s="1" t="n">
        <f aca="false">IFERROR(($I$3/$I$2)/($G$3/$G$2)^(1/3),"")</f>
        <v>1.43338363463152</v>
      </c>
      <c r="O3" s="1" t="str">
        <f aca="false">IFERROR('Fluent Raw Results'!$O$3/'Fluent Raw Results'!$N$3,"")</f>
        <v/>
      </c>
      <c r="P3" s="1" t="str">
        <f aca="false">IFERROR('Fluent Raw Results'!$N$3/'Fluent Raw Results'!$N$2,"")</f>
        <v/>
      </c>
      <c r="Q3" s="1" t="n">
        <f aca="false">IFERROR(ABS('Fluent Raw Results'!$B$3-'Fluent Raw Results'!$C$3)/'Fluent Raw Results'!$B$3*100,"")</f>
        <v>0.000546465555770559</v>
      </c>
    </row>
    <row r="4" customFormat="false" ht="15" hidden="false" customHeight="true" outlineLevel="0" collapsed="false">
      <c r="A4" s="1" t="n">
        <v>2</v>
      </c>
      <c r="B4" s="1" t="n">
        <f aca="false">(PI()*Constants!$C$4^2/4-('Run Matrix (Inputs)'!$J$4/1000)^2)+('Run Matrix (Inputs)'!$L$4/1000)^2</f>
        <v>0.00335495439975929</v>
      </c>
      <c r="C4" s="1" t="str">
        <f aca="false">IFERROR('Fluent Raw Results'!$B$4/('Fluid Properties'!$G$4*$B$4),"")</f>
        <v/>
      </c>
      <c r="D4" s="1" t="str">
        <f aca="false">IFERROR('Fluid Properties'!$G$4*$C$4*Constants!$C$4/'Fluid Properties'!$J$4,"")</f>
        <v/>
      </c>
      <c r="E4" s="1" t="str">
        <f aca="false">IF(OR('Fluent Raw Results'!$F$4="",'Fluent Raw Results'!$G$4=""),"",('Fluent Raw Results'!$F$4+'Fluent Raw Results'!$G$4)/2)</f>
        <v/>
      </c>
      <c r="F4" s="1" t="str">
        <f aca="false">IF(OR('Fluent Raw Results'!$D$4="",'Fluent Raw Results'!$E$4=""),"",'Fluent Raw Results'!$D$4-'Fluent Raw Results'!$E$4)</f>
        <v/>
      </c>
      <c r="G4" s="1" t="str">
        <f aca="false">IFERROR(2*'Fluent Raw Results'!$I$4/('Fluid Properties'!$G$4*$C$4^2),"")</f>
        <v/>
      </c>
      <c r="H4" s="1" t="str">
        <f aca="false">IFERROR('Fluent Raw Results'!$J$4/('Fluent Raw Results'!$H$4-$E$4),"")</f>
        <v/>
      </c>
      <c r="I4" s="1" t="str">
        <f aca="false">IFERROR($H$4*Constants!$C$4/'Fluid Properties'!$I$4,"")</f>
        <v/>
      </c>
      <c r="J4" s="1" t="str">
        <f aca="false">IFERROR('Fluent Raw Results'!$B$4*'Fluid Properties'!$H$4*('Fluent Raw Results'!$G$4-'Fluent Raw Results'!$F$4),"")</f>
        <v/>
      </c>
      <c r="K4" s="1" t="str">
        <f aca="false">IFERROR(('Fluent Raw Results'!$B$4/'Fluid Properties'!$G$4)*$F$4,"")</f>
        <v/>
      </c>
      <c r="L4" s="1" t="str">
        <f aca="false">IFERROR(($J$4-$K$4/Constants!$C$13)/(Constants!$C$9*Constants!$C$10),"")</f>
        <v/>
      </c>
      <c r="M4" s="1" t="str">
        <f aca="false">IFERROR('Fluent Raw Results'!$B$4*'Fluid Properties'!$H$4*(('Fluent Raw Results'!$G$4-'Fluent Raw Results'!$F$4)-Constants!$C$11*LN('Fluent Raw Results'!$G$4/'Fluent Raw Results'!$F$4))/(Constants!$C$9*Constants!$C$10*(1+(1/3)*(Constants!$C$11/Constants!$C$12)^4-(4/3)*(Constants!$C$11/Constants!$C$12))),"")</f>
        <v/>
      </c>
      <c r="N4" s="1" t="str">
        <f aca="false">IFERROR(($I$4/$I$2)/($G$4/$G$2)^(1/3),"")</f>
        <v/>
      </c>
      <c r="O4" s="1" t="str">
        <f aca="false">IFERROR('Fluent Raw Results'!$O$4/'Fluent Raw Results'!$N$4,"")</f>
        <v/>
      </c>
      <c r="P4" s="1" t="str">
        <f aca="false">IFERROR('Fluent Raw Results'!$N$4/'Fluent Raw Results'!$N$2,"")</f>
        <v/>
      </c>
      <c r="Q4" s="1" t="str">
        <f aca="false">IFERROR(ABS('Fluent Raw Results'!$B$4-'Fluent Raw Results'!$C$4)/'Fluent Raw Results'!$B$4*100,"")</f>
        <v/>
      </c>
    </row>
    <row r="5" customFormat="false" ht="15" hidden="false" customHeight="true" outlineLevel="0" collapsed="false">
      <c r="A5" s="1" t="n">
        <v>3</v>
      </c>
      <c r="B5" s="1" t="n">
        <f aca="false">(PI()*Constants!$C$4^2/4-('Run Matrix (Inputs)'!$J$5/1000)^2)+('Run Matrix (Inputs)'!$L$5/1000)^2</f>
        <v>0.00332615439975929</v>
      </c>
      <c r="C5" s="1" t="str">
        <f aca="false">IFERROR('Fluent Raw Results'!$B$5/('Fluid Properties'!$G$5*$B$5),"")</f>
        <v/>
      </c>
      <c r="D5" s="1" t="str">
        <f aca="false">IFERROR('Fluid Properties'!$G$5*$C$5*Constants!$C$4/'Fluid Properties'!$J$5,"")</f>
        <v/>
      </c>
      <c r="E5" s="1" t="str">
        <f aca="false">IF(OR('Fluent Raw Results'!$F$5="",'Fluent Raw Results'!$G$5=""),"",('Fluent Raw Results'!$F$5+'Fluent Raw Results'!$G$5)/2)</f>
        <v/>
      </c>
      <c r="F5" s="1" t="str">
        <f aca="false">IF(OR('Fluent Raw Results'!$D$5="",'Fluent Raw Results'!$E$5=""),"",'Fluent Raw Results'!$D$5-'Fluent Raw Results'!$E$5)</f>
        <v/>
      </c>
      <c r="G5" s="1" t="str">
        <f aca="false">IFERROR(2*'Fluent Raw Results'!$I$5/('Fluid Properties'!$G$5*$C$5^2),"")</f>
        <v/>
      </c>
      <c r="H5" s="1" t="str">
        <f aca="false">IFERROR('Fluent Raw Results'!$J$5/('Fluent Raw Results'!$H$5-$E$5),"")</f>
        <v/>
      </c>
      <c r="I5" s="1" t="str">
        <f aca="false">IFERROR($H$5*Constants!$C$4/'Fluid Properties'!$I$5,"")</f>
        <v/>
      </c>
      <c r="J5" s="1" t="str">
        <f aca="false">IFERROR('Fluent Raw Results'!$B$5*'Fluid Properties'!$H$5*('Fluent Raw Results'!$G$5-'Fluent Raw Results'!$F$5),"")</f>
        <v/>
      </c>
      <c r="K5" s="1" t="str">
        <f aca="false">IFERROR(('Fluent Raw Results'!$B$5/'Fluid Properties'!$G$5)*$F$5,"")</f>
        <v/>
      </c>
      <c r="L5" s="1" t="str">
        <f aca="false">IFERROR(($J$5-$K$5/Constants!$C$13)/(Constants!$C$9*Constants!$C$10),"")</f>
        <v/>
      </c>
      <c r="M5" s="1" t="str">
        <f aca="false">IFERROR('Fluent Raw Results'!$B$5*'Fluid Properties'!$H$5*(('Fluent Raw Results'!$G$5-'Fluent Raw Results'!$F$5)-Constants!$C$11*LN('Fluent Raw Results'!$G$5/'Fluent Raw Results'!$F$5))/(Constants!$C$9*Constants!$C$10*(1+(1/3)*(Constants!$C$11/Constants!$C$12)^4-(4/3)*(Constants!$C$11/Constants!$C$12))),"")</f>
        <v/>
      </c>
      <c r="N5" s="1" t="str">
        <f aca="false">IFERROR(($I$5/$I$2)/($G$5/$G$2)^(1/3),"")</f>
        <v/>
      </c>
      <c r="O5" s="1" t="str">
        <f aca="false">IFERROR('Fluent Raw Results'!$O$5/'Fluent Raw Results'!$N$5,"")</f>
        <v/>
      </c>
      <c r="P5" s="1" t="str">
        <f aca="false">IFERROR('Fluent Raw Results'!$N$5/'Fluent Raw Results'!$N$2,"")</f>
        <v/>
      </c>
      <c r="Q5" s="1" t="str">
        <f aca="false">IFERROR(ABS('Fluent Raw Results'!$B$5-'Fluent Raw Results'!$C$5)/'Fluent Raw Results'!$B$5*100,"")</f>
        <v/>
      </c>
    </row>
    <row r="6" customFormat="false" ht="15" hidden="false" customHeight="true" outlineLevel="0" collapsed="false">
      <c r="A6" s="1" t="n">
        <v>4</v>
      </c>
      <c r="B6" s="1" t="n">
        <f aca="false">(PI()*Constants!$C$4^2/4-('Run Matrix (Inputs)'!$J$6/1000)^2)+('Run Matrix (Inputs)'!$L$6/1000)^2</f>
        <v>0.00332519439975928</v>
      </c>
      <c r="C6" s="1" t="str">
        <f aca="false">IFERROR('Fluent Raw Results'!$B$6/('Fluid Properties'!$G$6*$B$6),"")</f>
        <v/>
      </c>
      <c r="D6" s="1" t="str">
        <f aca="false">IFERROR('Fluid Properties'!$G$6*$C$6*Constants!$C$4/'Fluid Properties'!$J$6,"")</f>
        <v/>
      </c>
      <c r="E6" s="1" t="str">
        <f aca="false">IF(OR('Fluent Raw Results'!$F$6="",'Fluent Raw Results'!$G$6=""),"",('Fluent Raw Results'!$F$6+'Fluent Raw Results'!$G$6)/2)</f>
        <v/>
      </c>
      <c r="F6" s="1" t="str">
        <f aca="false">IF(OR('Fluent Raw Results'!$D$6="",'Fluent Raw Results'!$E$6=""),"",'Fluent Raw Results'!$D$6-'Fluent Raw Results'!$E$6)</f>
        <v/>
      </c>
      <c r="G6" s="1" t="str">
        <f aca="false">IFERROR(2*'Fluent Raw Results'!$I$6/('Fluid Properties'!$G$6*$C$6^2),"")</f>
        <v/>
      </c>
      <c r="H6" s="1" t="str">
        <f aca="false">IFERROR('Fluent Raw Results'!$J$6/('Fluent Raw Results'!$H$6-$E$6),"")</f>
        <v/>
      </c>
      <c r="I6" s="1" t="str">
        <f aca="false">IFERROR($H$6*Constants!$C$4/'Fluid Properties'!$I$6,"")</f>
        <v/>
      </c>
      <c r="J6" s="1" t="str">
        <f aca="false">IFERROR('Fluent Raw Results'!$B$6*'Fluid Properties'!$H$6*('Fluent Raw Results'!$G$6-'Fluent Raw Results'!$F$6),"")</f>
        <v/>
      </c>
      <c r="K6" s="1" t="str">
        <f aca="false">IFERROR(('Fluent Raw Results'!$B$6/'Fluid Properties'!$G$6)*$F$6,"")</f>
        <v/>
      </c>
      <c r="L6" s="1" t="str">
        <f aca="false">IFERROR(($J$6-$K$6/Constants!$C$13)/(Constants!$C$9*Constants!$C$10),"")</f>
        <v/>
      </c>
      <c r="M6" s="1" t="str">
        <f aca="false">IFERROR('Fluent Raw Results'!$B$6*'Fluid Properties'!$H$6*(('Fluent Raw Results'!$G$6-'Fluent Raw Results'!$F$6)-Constants!$C$11*LN('Fluent Raw Results'!$G$6/'Fluent Raw Results'!$F$6))/(Constants!$C$9*Constants!$C$10*(1+(1/3)*(Constants!$C$11/Constants!$C$12)^4-(4/3)*(Constants!$C$11/Constants!$C$12))),"")</f>
        <v/>
      </c>
      <c r="N6" s="1" t="str">
        <f aca="false">IFERROR(($I$6/$I$2)/($G$6/$G$2)^(1/3),"")</f>
        <v/>
      </c>
      <c r="O6" s="1" t="str">
        <f aca="false">IFERROR('Fluent Raw Results'!$O$6/'Fluent Raw Results'!$N$6,"")</f>
        <v/>
      </c>
      <c r="P6" s="1" t="str">
        <f aca="false">IFERROR('Fluent Raw Results'!$N$6/'Fluent Raw Results'!$N$2,"")</f>
        <v/>
      </c>
      <c r="Q6" s="1" t="str">
        <f aca="false">IFERROR(ABS('Fluent Raw Results'!$B$6-'Fluent Raw Results'!$C$6)/'Fluent Raw Results'!$B$6*100,"")</f>
        <v/>
      </c>
    </row>
    <row r="7" customFormat="false" ht="15" hidden="false" customHeight="true" outlineLevel="0" collapsed="false">
      <c r="A7" s="1" t="n">
        <v>5</v>
      </c>
      <c r="B7" s="1" t="n">
        <f aca="false">(PI()*Constants!$C$4^2/4-('Run Matrix (Inputs)'!$J$7/1000)^2)+('Run Matrix (Inputs)'!$L$7/1000)^2</f>
        <v>0.00323719439975929</v>
      </c>
      <c r="C7" s="1" t="str">
        <f aca="false">IFERROR('Fluent Raw Results'!$B$7/('Fluid Properties'!$G$7*$B$7),"")</f>
        <v/>
      </c>
      <c r="D7" s="1" t="str">
        <f aca="false">IFERROR('Fluid Properties'!$G$7*$C$7*Constants!$C$4/'Fluid Properties'!$J$7,"")</f>
        <v/>
      </c>
      <c r="E7" s="1" t="str">
        <f aca="false">IF(OR('Fluent Raw Results'!$F$7="",'Fluent Raw Results'!$G$7=""),"",('Fluent Raw Results'!$F$7+'Fluent Raw Results'!$G$7)/2)</f>
        <v/>
      </c>
      <c r="F7" s="1" t="str">
        <f aca="false">IF(OR('Fluent Raw Results'!$D$7="",'Fluent Raw Results'!$E$7=""),"",'Fluent Raw Results'!$D$7-'Fluent Raw Results'!$E$7)</f>
        <v/>
      </c>
      <c r="G7" s="1" t="str">
        <f aca="false">IFERROR(2*'Fluent Raw Results'!$I$7/('Fluid Properties'!$G$7*$C$7^2),"")</f>
        <v/>
      </c>
      <c r="H7" s="1" t="str">
        <f aca="false">IFERROR('Fluent Raw Results'!$J$7/('Fluent Raw Results'!$H$7-$E$7),"")</f>
        <v/>
      </c>
      <c r="I7" s="1" t="str">
        <f aca="false">IFERROR($H$7*Constants!$C$4/'Fluid Properties'!$I$7,"")</f>
        <v/>
      </c>
      <c r="J7" s="1" t="str">
        <f aca="false">IFERROR('Fluent Raw Results'!$B$7*'Fluid Properties'!$H$7*('Fluent Raw Results'!$G$7-'Fluent Raw Results'!$F$7),"")</f>
        <v/>
      </c>
      <c r="K7" s="1" t="str">
        <f aca="false">IFERROR(('Fluent Raw Results'!$B$7/'Fluid Properties'!$G$7)*$F$7,"")</f>
        <v/>
      </c>
      <c r="L7" s="1" t="str">
        <f aca="false">IFERROR(($J$7-$K$7/Constants!$C$13)/(Constants!$C$9*Constants!$C$10),"")</f>
        <v/>
      </c>
      <c r="M7" s="1" t="str">
        <f aca="false">IFERROR('Fluent Raw Results'!$B$7*'Fluid Properties'!$H$7*(('Fluent Raw Results'!$G$7-'Fluent Raw Results'!$F$7)-Constants!$C$11*LN('Fluent Raw Results'!$G$7/'Fluent Raw Results'!$F$7))/(Constants!$C$9*Constants!$C$10*(1+(1/3)*(Constants!$C$11/Constants!$C$12)^4-(4/3)*(Constants!$C$11/Constants!$C$12))),"")</f>
        <v/>
      </c>
      <c r="N7" s="1" t="str">
        <f aca="false">IFERROR(($I$7/$I$2)/($G$7/$G$2)^(1/3),"")</f>
        <v/>
      </c>
      <c r="O7" s="1" t="str">
        <f aca="false">IFERROR('Fluent Raw Results'!$O$7/'Fluent Raw Results'!$N$7,"")</f>
        <v/>
      </c>
      <c r="P7" s="1" t="str">
        <f aca="false">IFERROR('Fluent Raw Results'!$N$7/'Fluent Raw Results'!$N$2,"")</f>
        <v/>
      </c>
      <c r="Q7" s="1" t="str">
        <f aca="false">IFERROR(ABS('Fluent Raw Results'!$B$7-'Fluent Raw Results'!$C$7)/'Fluent Raw Results'!$B$7*100,"")</f>
        <v/>
      </c>
    </row>
    <row r="8" customFormat="false" ht="15" hidden="false" customHeight="true" outlineLevel="0" collapsed="false">
      <c r="A8" s="1" t="n">
        <v>6</v>
      </c>
      <c r="B8" s="1" t="n">
        <f aca="false">(PI()*Constants!$C$4^2/4-('Run Matrix (Inputs)'!$J$8/1000)^2)+('Run Matrix (Inputs)'!$L$8/1000)^2</f>
        <v>0.00315719439975929</v>
      </c>
      <c r="C8" s="1" t="n">
        <f aca="false">IFERROR('Fluent Raw Results'!$B$8/('Fluid Properties'!$G$8*$B$8),"")</f>
        <v>0.335111869399218</v>
      </c>
      <c r="D8" s="1" t="n">
        <f aca="false">IFERROR('Fluid Properties'!$G$8*$C$8*Constants!$C$4/'Fluid Properties'!$J$8,"")</f>
        <v>9985.5203733488</v>
      </c>
      <c r="E8" s="1" t="n">
        <f aca="false">IF(OR('Fluent Raw Results'!$F$8="",'Fluent Raw Results'!$G$8=""),"",('Fluent Raw Results'!$F$8+'Fluent Raw Results'!$G$8)/2)</f>
        <v>505.076345</v>
      </c>
      <c r="F8" s="1" t="n">
        <f aca="false">IF(OR('Fluent Raw Results'!$D$8="",'Fluent Raw Results'!$E$8=""),"",'Fluent Raw Results'!$D$8-'Fluent Raw Results'!$E$8)</f>
        <v>212.57862</v>
      </c>
      <c r="G8" s="1" t="n">
        <f aca="false">IFERROR(2*'Fluent Raw Results'!$I$8/('Fluid Properties'!$G$8*$C$8^2),"")</f>
        <v>0.0164381983870026</v>
      </c>
      <c r="H8" s="1" t="n">
        <f aca="false">IFERROR('Fluent Raw Results'!$J$8/('Fluent Raw Results'!$H$8-$E$8),"")</f>
        <v>312.933351289517</v>
      </c>
      <c r="I8" s="1" t="n">
        <f aca="false">IFERROR($H$8*Constants!$C$4/'Fluid Properties'!$I$8,"")</f>
        <v>207.911198893925</v>
      </c>
      <c r="J8" s="1" t="n">
        <f aca="false">IFERROR('Fluent Raw Results'!$B$8*'Fluid Properties'!$H$8*('Fluent Raw Results'!$G$8-'Fluent Raw Results'!$F$8),"")</f>
        <v>15845.6149020997</v>
      </c>
      <c r="K8" s="1" t="n">
        <f aca="false">IFERROR(('Fluent Raw Results'!$B$8/'Fluid Properties'!$G$8)*$F$8,"")</f>
        <v>0.224911010946027</v>
      </c>
      <c r="L8" s="1" t="n">
        <f aca="false">IFERROR(($J$8-$K$8/Constants!$C$13)/(Constants!$C$9*Constants!$C$10),"")</f>
        <v>0.404205744865558</v>
      </c>
      <c r="M8" s="1" t="n">
        <f aca="false">IFERROR('Fluent Raw Results'!$B$8*'Fluid Properties'!$H$8*(('Fluent Raw Results'!$G$8-'Fluent Raw Results'!$F$8)-Constants!$C$11*LN('Fluent Raw Results'!$G$8/'Fluent Raw Results'!$F$8))/(Constants!$C$9*Constants!$C$10*(1+(1/3)*(Constants!$C$11/Constants!$C$12)^4-(4/3)*(Constants!$C$11/Constants!$C$12))),"")</f>
        <v>0.176276044309012</v>
      </c>
      <c r="N8" s="1" t="n">
        <f aca="false">IFERROR(($I$8/$I$2)/($G$8/$G$2)^(1/3),"")</f>
        <v>0.998644293010711</v>
      </c>
      <c r="O8" s="1" t="str">
        <f aca="false">IFERROR('Fluent Raw Results'!$O$8/'Fluent Raw Results'!$N$8,"")</f>
        <v/>
      </c>
      <c r="P8" s="1" t="str">
        <f aca="false">IFERROR('Fluent Raw Results'!$N$8/'Fluent Raw Results'!$N$2,"")</f>
        <v/>
      </c>
      <c r="Q8" s="1" t="n">
        <f aca="false">IFERROR(ABS('Fluent Raw Results'!$B$8-'Fluent Raw Results'!$C$8)/'Fluent Raw Results'!$B$8*100,"")</f>
        <v>0.00335299111820578</v>
      </c>
    </row>
    <row r="9" customFormat="false" ht="15" hidden="false" customHeight="true" outlineLevel="0" collapsed="false">
      <c r="A9" s="1" t="n">
        <v>7</v>
      </c>
      <c r="B9" s="1" t="n">
        <f aca="false">(PI()*Constants!$C$4^2/4-('Run Matrix (Inputs)'!$J$9/1000)^2)+('Run Matrix (Inputs)'!$L$9/1000)^2</f>
        <v>0.00323303439975929</v>
      </c>
      <c r="C9" s="1" t="str">
        <f aca="false">IFERROR('Fluent Raw Results'!$B$9/('Fluid Properties'!$G$9*$B$9),"")</f>
        <v/>
      </c>
      <c r="D9" s="1" t="str">
        <f aca="false">IFERROR('Fluid Properties'!$G$9*$C$9*Constants!$C$4/'Fluid Properties'!$J$9,"")</f>
        <v/>
      </c>
      <c r="E9" s="1" t="str">
        <f aca="false">IF(OR('Fluent Raw Results'!$F$9="",'Fluent Raw Results'!$G$9=""),"",('Fluent Raw Results'!$F$9+'Fluent Raw Results'!$G$9)/2)</f>
        <v/>
      </c>
      <c r="F9" s="1" t="str">
        <f aca="false">IF(OR('Fluent Raw Results'!$D$9="",'Fluent Raw Results'!$E$9=""),"",'Fluent Raw Results'!$D$9-'Fluent Raw Results'!$E$9)</f>
        <v/>
      </c>
      <c r="G9" s="1" t="str">
        <f aca="false">IFERROR(2*'Fluent Raw Results'!$I$9/('Fluid Properties'!$G$9*$C$9^2),"")</f>
        <v/>
      </c>
      <c r="H9" s="1" t="str">
        <f aca="false">IFERROR('Fluent Raw Results'!$J$9/('Fluent Raw Results'!$H$9-$E$9),"")</f>
        <v/>
      </c>
      <c r="I9" s="1" t="str">
        <f aca="false">IFERROR($H$9*Constants!$C$4/'Fluid Properties'!$I$9,"")</f>
        <v/>
      </c>
      <c r="J9" s="1" t="str">
        <f aca="false">IFERROR('Fluent Raw Results'!$B$9*'Fluid Properties'!$H$9*('Fluent Raw Results'!$G$9-'Fluent Raw Results'!$F$9),"")</f>
        <v/>
      </c>
      <c r="K9" s="1" t="str">
        <f aca="false">IFERROR(('Fluent Raw Results'!$B$9/'Fluid Properties'!$G$9)*$F$9,"")</f>
        <v/>
      </c>
      <c r="L9" s="1" t="str">
        <f aca="false">IFERROR(($J$9-$K$9/Constants!$C$13)/(Constants!$C$9*Constants!$C$10),"")</f>
        <v/>
      </c>
      <c r="M9" s="1" t="str">
        <f aca="false">IFERROR('Fluent Raw Results'!$B$9*'Fluid Properties'!$H$9*(('Fluent Raw Results'!$G$9-'Fluent Raw Results'!$F$9)-Constants!$C$11*LN('Fluent Raw Results'!$G$9/'Fluent Raw Results'!$F$9))/(Constants!$C$9*Constants!$C$10*(1+(1/3)*(Constants!$C$11/Constants!$C$12)^4-(4/3)*(Constants!$C$11/Constants!$C$12))),"")</f>
        <v/>
      </c>
      <c r="N9" s="1" t="str">
        <f aca="false">IFERROR(($I$9/$I$2)/($G$9/$G$2)^(1/3),"")</f>
        <v/>
      </c>
      <c r="O9" s="1" t="str">
        <f aca="false">IFERROR('Fluent Raw Results'!$O$9/'Fluent Raw Results'!$N$9,"")</f>
        <v/>
      </c>
      <c r="P9" s="1" t="str">
        <f aca="false">IFERROR('Fluent Raw Results'!$N$9/'Fluent Raw Results'!$N$2,"")</f>
        <v/>
      </c>
      <c r="Q9" s="1" t="str">
        <f aca="false">IFERROR(ABS('Fluent Raw Results'!$B$9-'Fluent Raw Results'!$C$9)/'Fluent Raw Results'!$B$9*100,"")</f>
        <v/>
      </c>
    </row>
    <row r="10" customFormat="false" ht="15" hidden="false" customHeight="true" outlineLevel="0" collapsed="false">
      <c r="A10" s="5" t="n">
        <v>8</v>
      </c>
      <c r="B10" s="5" t="n">
        <f aca="false">(PI()*Constants!$C$4^2/4-('Run Matrix (Inputs)'!$J$10/1000)^2)+('Run Matrix (Inputs)'!$L$10/1000)^2</f>
        <v>0.00306055439975928</v>
      </c>
      <c r="C10" s="5" t="n">
        <f aca="false">IFERROR('Fluent Raw Results'!$B$10/('Fluid Properties'!$G$10*$B$10),"")</f>
        <v>0</v>
      </c>
      <c r="D10" s="5" t="n">
        <f aca="false">IFERROR('Fluid Properties'!$G$10*$C$10*Constants!$C$4/'Fluid Properties'!$J$10,"")</f>
        <v>0</v>
      </c>
      <c r="E10" s="5" t="str">
        <f aca="false">IF(OR('Fluent Raw Results'!$F$10="",'Fluent Raw Results'!$G$10=""),"",('Fluent Raw Results'!$F$10+'Fluent Raw Results'!$G$10)/2)</f>
        <v/>
      </c>
      <c r="F10" s="5" t="str">
        <f aca="false">IF(OR('Fluent Raw Results'!$D$10="",'Fluent Raw Results'!$E$10=""),"",'Fluent Raw Results'!$D$10-'Fluent Raw Results'!$E$10)</f>
        <v/>
      </c>
      <c r="G10" s="5" t="str">
        <f aca="false">IFERROR(2*'Fluent Raw Results'!$I$10/('Fluid Properties'!$G$10*$C$10^2),"")</f>
        <v/>
      </c>
      <c r="H10" s="5" t="str">
        <f aca="false">IFERROR('Fluent Raw Results'!$J$10/('Fluent Raw Results'!$H$10-$E$10),"")</f>
        <v/>
      </c>
      <c r="I10" s="5" t="str">
        <f aca="false">IFERROR($H$10*Constants!$C$4/'Fluid Properties'!$I$10,"")</f>
        <v/>
      </c>
      <c r="J10" s="5" t="n">
        <f aca="false">IFERROR('Fluent Raw Results'!$B$10*'Fluid Properties'!$H$10*('Fluent Raw Results'!$G$10-'Fluent Raw Results'!$F$10),"")</f>
        <v>0</v>
      </c>
      <c r="K10" s="5" t="str">
        <f aca="false">IFERROR(('Fluent Raw Results'!$B$10/'Fluid Properties'!$G$10)*$F$10,"")</f>
        <v/>
      </c>
      <c r="L10" s="5" t="str">
        <f aca="false">IFERROR(($J$10-$K$10/Constants!$C$13)/(Constants!$C$9*Constants!$C$10),"")</f>
        <v/>
      </c>
      <c r="M10" s="5" t="str">
        <f aca="false">IFERROR('Fluent Raw Results'!$B$10*'Fluid Properties'!$H$10*(('Fluent Raw Results'!$G$10-'Fluent Raw Results'!$F$10)-Constants!$C$11*LN('Fluent Raw Results'!$G$10/'Fluent Raw Results'!$F$10))/(Constants!$C$9*Constants!$C$10*(1+(1/3)*(Constants!$C$11/Constants!$C$12)^4-(4/3)*(Constants!$C$11/Constants!$C$12))),"")</f>
        <v/>
      </c>
      <c r="N10" s="5" t="str">
        <f aca="false">IFERROR(($I$10/$I$2)/($G$10/$G$2)^(1/3),"")</f>
        <v/>
      </c>
      <c r="O10" s="5" t="str">
        <f aca="false">IFERROR('Fluent Raw Results'!$O$10/'Fluent Raw Results'!$N$10,"")</f>
        <v/>
      </c>
      <c r="P10" s="5" t="str">
        <f aca="false">IFERROR('Fluent Raw Results'!$N$10/'Fluent Raw Results'!$N$2,"")</f>
        <v/>
      </c>
      <c r="Q10" s="5" t="str">
        <f aca="false">IFERROR(ABS('Fluent Raw Results'!$B$10-'Fluent Raw Results'!$C$10)/'Fluent Raw Results'!$B$10*100,"")</f>
        <v/>
      </c>
    </row>
    <row r="11" customFormat="false" ht="15" hidden="false" customHeight="true" outlineLevel="0" collapsed="false">
      <c r="A11" s="1" t="n">
        <v>9</v>
      </c>
      <c r="B11" s="1" t="n">
        <f aca="false">(PI()*Constants!$C$4^2/4-('Run Matrix (Inputs)'!$J$11/1000)^2)+('Run Matrix (Inputs)'!$L$11/1000)^2</f>
        <v>0.00290375439975929</v>
      </c>
      <c r="C11" s="1" t="str">
        <f aca="false">IFERROR('Fluent Raw Results'!$B$11/('Fluid Properties'!$G$11*$B$11),"")</f>
        <v/>
      </c>
      <c r="D11" s="1" t="str">
        <f aca="false">IFERROR('Fluid Properties'!$G$11*$C$11*Constants!$C$4/'Fluid Properties'!$J$11,"")</f>
        <v/>
      </c>
      <c r="E11" s="1" t="str">
        <f aca="false">IF(OR('Fluent Raw Results'!$F$11="",'Fluent Raw Results'!$G$11=""),"",('Fluent Raw Results'!$F$11+'Fluent Raw Results'!$G$11)/2)</f>
        <v/>
      </c>
      <c r="F11" s="1" t="str">
        <f aca="false">IF(OR('Fluent Raw Results'!$D$11="",'Fluent Raw Results'!$E$11=""),"",'Fluent Raw Results'!$D$11-'Fluent Raw Results'!$E$11)</f>
        <v/>
      </c>
      <c r="G11" s="1" t="str">
        <f aca="false">IFERROR(2*'Fluent Raw Results'!$I$11/('Fluid Properties'!$G$11*$C$11^2),"")</f>
        <v/>
      </c>
      <c r="H11" s="1" t="str">
        <f aca="false">IFERROR('Fluent Raw Results'!$J$11/('Fluent Raw Results'!$H$11-$E$11),"")</f>
        <v/>
      </c>
      <c r="I11" s="1" t="str">
        <f aca="false">IFERROR($H$11*Constants!$C$4/'Fluid Properties'!$I$11,"")</f>
        <v/>
      </c>
      <c r="J11" s="1" t="str">
        <f aca="false">IFERROR('Fluent Raw Results'!$B$11*'Fluid Properties'!$H$11*('Fluent Raw Results'!$G$11-'Fluent Raw Results'!$F$11),"")</f>
        <v/>
      </c>
      <c r="K11" s="1" t="str">
        <f aca="false">IFERROR(('Fluent Raw Results'!$B$11/'Fluid Properties'!$G$11)*$F$11,"")</f>
        <v/>
      </c>
      <c r="L11" s="1" t="str">
        <f aca="false">IFERROR(($J$11-$K$11/Constants!$C$13)/(Constants!$C$9*Constants!$C$10),"")</f>
        <v/>
      </c>
      <c r="M11" s="1" t="str">
        <f aca="false">IFERROR('Fluent Raw Results'!$B$11*'Fluid Properties'!$H$11*(('Fluent Raw Results'!$G$11-'Fluent Raw Results'!$F$11)-Constants!$C$11*LN('Fluent Raw Results'!$G$11/'Fluent Raw Results'!$F$11))/(Constants!$C$9*Constants!$C$10*(1+(1/3)*(Constants!$C$11/Constants!$C$12)^4-(4/3)*(Constants!$C$11/Constants!$C$12))),"")</f>
        <v/>
      </c>
      <c r="N11" s="1" t="str">
        <f aca="false">IFERROR(($I$11/$I$2)/($G$11/$G$2)^(1/3),"")</f>
        <v/>
      </c>
      <c r="O11" s="1" t="str">
        <f aca="false">IFERROR('Fluent Raw Results'!$O$11/'Fluent Raw Results'!$N$11,"")</f>
        <v/>
      </c>
      <c r="P11" s="1" t="str">
        <f aca="false">IFERROR('Fluent Raw Results'!$N$11/'Fluent Raw Results'!$N$2,"")</f>
        <v/>
      </c>
      <c r="Q11" s="1" t="str">
        <f aca="false">IFERROR(ABS('Fluent Raw Results'!$B$11-'Fluent Raw Results'!$C$11)/'Fluent Raw Results'!$B$11*100,"")</f>
        <v/>
      </c>
    </row>
    <row r="12" customFormat="false" ht="15" hidden="false" customHeight="true" outlineLevel="0" collapsed="false">
      <c r="A12" s="1" t="n">
        <v>10</v>
      </c>
      <c r="B12" s="1" t="n">
        <f aca="false">(PI()*Constants!$C$4^2/4-('Run Matrix (Inputs)'!$J$12/1000)^2)+('Run Matrix (Inputs)'!$L$12/1000)^2</f>
        <v>0.00338663439975929</v>
      </c>
      <c r="C12" s="1" t="str">
        <f aca="false">IFERROR('Fluent Raw Results'!$B$12/('Fluid Properties'!$G$12*$B$12),"")</f>
        <v/>
      </c>
      <c r="D12" s="1" t="str">
        <f aca="false">IFERROR('Fluid Properties'!$G$12*$C$12*Constants!$C$4/'Fluid Properties'!$J$12,"")</f>
        <v/>
      </c>
      <c r="E12" s="1" t="str">
        <f aca="false">IF(OR('Fluent Raw Results'!$F$12="",'Fluent Raw Results'!$G$12=""),"",('Fluent Raw Results'!$F$12+'Fluent Raw Results'!$G$12)/2)</f>
        <v/>
      </c>
      <c r="F12" s="1" t="str">
        <f aca="false">IF(OR('Fluent Raw Results'!$D$12="",'Fluent Raw Results'!$E$12=""),"",'Fluent Raw Results'!$D$12-'Fluent Raw Results'!$E$12)</f>
        <v/>
      </c>
      <c r="G12" s="1" t="str">
        <f aca="false">IFERROR(2*'Fluent Raw Results'!$I$12/('Fluid Properties'!$G$12*$C$12^2),"")</f>
        <v/>
      </c>
      <c r="H12" s="1" t="str">
        <f aca="false">IFERROR('Fluent Raw Results'!$J$12/('Fluent Raw Results'!$H$12-$E$12),"")</f>
        <v/>
      </c>
      <c r="I12" s="1" t="str">
        <f aca="false">IFERROR($H$12*Constants!$C$4/'Fluid Properties'!$I$12,"")</f>
        <v/>
      </c>
      <c r="J12" s="1" t="str">
        <f aca="false">IFERROR('Fluent Raw Results'!$B$12*'Fluid Properties'!$H$12*('Fluent Raw Results'!$G$12-'Fluent Raw Results'!$F$12),"")</f>
        <v/>
      </c>
      <c r="K12" s="1" t="str">
        <f aca="false">IFERROR(('Fluent Raw Results'!$B$12/'Fluid Properties'!$G$12)*$F$12,"")</f>
        <v/>
      </c>
      <c r="L12" s="1" t="str">
        <f aca="false">IFERROR(($J$12-$K$12/Constants!$C$13)/(Constants!$C$9*Constants!$C$10),"")</f>
        <v/>
      </c>
      <c r="M12" s="1" t="str">
        <f aca="false">IFERROR('Fluent Raw Results'!$B$12*'Fluid Properties'!$H$12*(('Fluent Raw Results'!$G$12-'Fluent Raw Results'!$F$12)-Constants!$C$11*LN('Fluent Raw Results'!$G$12/'Fluent Raw Results'!$F$12))/(Constants!$C$9*Constants!$C$10*(1+(1/3)*(Constants!$C$11/Constants!$C$12)^4-(4/3)*(Constants!$C$11/Constants!$C$12))),"")</f>
        <v/>
      </c>
      <c r="N12" s="1" t="str">
        <f aca="false">IFERROR(($I$12/$I$2)/($G$12/$G$2)^(1/3),"")</f>
        <v/>
      </c>
      <c r="O12" s="1" t="str">
        <f aca="false">IFERROR('Fluent Raw Results'!$O$12/'Fluent Raw Results'!$N$12,"")</f>
        <v/>
      </c>
      <c r="P12" s="1" t="str">
        <f aca="false">IFERROR('Fluent Raw Results'!$N$12/'Fluent Raw Results'!$N$2,"")</f>
        <v/>
      </c>
      <c r="Q12" s="1" t="str">
        <f aca="false">IFERROR(ABS('Fluent Raw Results'!$B$12-'Fluent Raw Results'!$C$12)/'Fluent Raw Results'!$B$12*100,"")</f>
        <v/>
      </c>
    </row>
    <row r="13" customFormat="false" ht="15" hidden="false" customHeight="true" outlineLevel="0" collapsed="false">
      <c r="A13" s="1" t="n">
        <v>11</v>
      </c>
      <c r="B13" s="1" t="n">
        <f aca="false">(PI()*Constants!$C$4^2/4-('Run Matrix (Inputs)'!$J$13/1000)^2)+('Run Matrix (Inputs)'!$L$13/1000)^2</f>
        <v>0.00335495439975929</v>
      </c>
      <c r="C13" s="1" t="str">
        <f aca="false">IFERROR('Fluent Raw Results'!$B$13/('Fluid Properties'!$G$13*$B$13),"")</f>
        <v/>
      </c>
      <c r="D13" s="1" t="str">
        <f aca="false">IFERROR('Fluid Properties'!$G$13*$C$13*Constants!$C$4/'Fluid Properties'!$J$13,"")</f>
        <v/>
      </c>
      <c r="E13" s="1" t="str">
        <f aca="false">IF(OR('Fluent Raw Results'!$F$13="",'Fluent Raw Results'!$G$13=""),"",('Fluent Raw Results'!$F$13+'Fluent Raw Results'!$G$13)/2)</f>
        <v/>
      </c>
      <c r="F13" s="1" t="str">
        <f aca="false">IF(OR('Fluent Raw Results'!$D$13="",'Fluent Raw Results'!$E$13=""),"",'Fluent Raw Results'!$D$13-'Fluent Raw Results'!$E$13)</f>
        <v/>
      </c>
      <c r="G13" s="1" t="str">
        <f aca="false">IFERROR(2*'Fluent Raw Results'!$I$13/('Fluid Properties'!$G$13*$C$13^2),"")</f>
        <v/>
      </c>
      <c r="H13" s="1" t="str">
        <f aca="false">IFERROR('Fluent Raw Results'!$J$13/('Fluent Raw Results'!$H$13-$E$13),"")</f>
        <v/>
      </c>
      <c r="I13" s="1" t="str">
        <f aca="false">IFERROR($H$13*Constants!$C$4/'Fluid Properties'!$I$13,"")</f>
        <v/>
      </c>
      <c r="J13" s="1" t="str">
        <f aca="false">IFERROR('Fluent Raw Results'!$B$13*'Fluid Properties'!$H$13*('Fluent Raw Results'!$G$13-'Fluent Raw Results'!$F$13),"")</f>
        <v/>
      </c>
      <c r="K13" s="1" t="str">
        <f aca="false">IFERROR(('Fluent Raw Results'!$B$13/'Fluid Properties'!$G$13)*$F$13,"")</f>
        <v/>
      </c>
      <c r="L13" s="1" t="str">
        <f aca="false">IFERROR(($J$13-$K$13/Constants!$C$13)/(Constants!$C$9*Constants!$C$10),"")</f>
        <v/>
      </c>
      <c r="M13" s="1" t="str">
        <f aca="false">IFERROR('Fluent Raw Results'!$B$13*'Fluid Properties'!$H$13*(('Fluent Raw Results'!$G$13-'Fluent Raw Results'!$F$13)-Constants!$C$11*LN('Fluent Raw Results'!$G$13/'Fluent Raw Results'!$F$13))/(Constants!$C$9*Constants!$C$10*(1+(1/3)*(Constants!$C$11/Constants!$C$12)^4-(4/3)*(Constants!$C$11/Constants!$C$12))),"")</f>
        <v/>
      </c>
      <c r="N13" s="1" t="str">
        <f aca="false">IFERROR(($I$13/$I$2)/($G$13/$G$2)^(1/3),"")</f>
        <v/>
      </c>
      <c r="O13" s="1" t="str">
        <f aca="false">IFERROR('Fluent Raw Results'!$O$13/'Fluent Raw Results'!$N$13,"")</f>
        <v/>
      </c>
      <c r="P13" s="1" t="str">
        <f aca="false">IFERROR('Fluent Raw Results'!$N$13/'Fluent Raw Results'!$N$2,"")</f>
        <v/>
      </c>
      <c r="Q13" s="1" t="str">
        <f aca="false">IFERROR(ABS('Fluent Raw Results'!$B$13-'Fluent Raw Results'!$C$13)/'Fluent Raw Results'!$B$13*100,"")</f>
        <v/>
      </c>
    </row>
    <row r="14" customFormat="false" ht="15" hidden="false" customHeight="true" outlineLevel="0" collapsed="false">
      <c r="A14" s="1" t="n">
        <v>12</v>
      </c>
      <c r="B14" s="1" t="n">
        <f aca="false">(PI()*Constants!$C$4^2/4-('Run Matrix (Inputs)'!$J$14/1000)^2)+('Run Matrix (Inputs)'!$L$14/1000)^2</f>
        <v>0.00332615439975929</v>
      </c>
      <c r="C14" s="1" t="n">
        <f aca="false">IFERROR('Fluent Raw Results'!$B$14/('Fluid Properties'!$G$14*$B$14),"")</f>
        <v>0.336634590890097</v>
      </c>
      <c r="D14" s="1" t="n">
        <f aca="false">IFERROR('Fluid Properties'!$G$14*$C$14*Constants!$C$4/'Fluid Properties'!$J$14,"")</f>
        <v>9986.1785306904</v>
      </c>
      <c r="E14" s="1" t="n">
        <f aca="false">IF(OR('Fluent Raw Results'!$F$14="",'Fluent Raw Results'!$G$14=""),"",('Fluent Raw Results'!$F$14+'Fluent Raw Results'!$G$14)/2)</f>
        <v>504.776635</v>
      </c>
      <c r="F14" s="1" t="n">
        <f aca="false">IF(OR('Fluent Raw Results'!$D$14="",'Fluent Raw Results'!$E$14=""),"",'Fluent Raw Results'!$D$14-'Fluent Raw Results'!$E$14)</f>
        <v>128.01882</v>
      </c>
      <c r="G14" s="1" t="n">
        <f aca="false">IFERROR(2*'Fluent Raw Results'!$I$14/('Fluid Properties'!$G$14*$C$14^2),"")</f>
        <v>0.0128464371942182</v>
      </c>
      <c r="H14" s="1" t="n">
        <f aca="false">IFERROR('Fluent Raw Results'!$J$14/('Fluent Raw Results'!$H$14-$E$14),"")</f>
        <v>270.197975844896</v>
      </c>
      <c r="I14" s="1" t="n">
        <f aca="false">IFERROR($H$14*Constants!$C$4/'Fluid Properties'!$I$14,"")</f>
        <v>182.49280483134</v>
      </c>
      <c r="J14" s="1" t="n">
        <f aca="false">IFERROR('Fluent Raw Results'!$B$14*'Fluid Properties'!$H$14*('Fluent Raw Results'!$G$14-'Fluent Raw Results'!$F$14),"")</f>
        <v>15730.4688087533</v>
      </c>
      <c r="K14" s="1" t="n">
        <f aca="false">IFERROR(('Fluent Raw Results'!$B$14/'Fluid Properties'!$G$14)*$F$14,"")</f>
        <v>0.143342496804968</v>
      </c>
      <c r="L14" s="1" t="n">
        <f aca="false">IFERROR(($J$14-$K$14/Constants!$C$13)/(Constants!$C$9*Constants!$C$10),"")</f>
        <v>0.40127528062323</v>
      </c>
      <c r="M14" s="1" t="n">
        <f aca="false">IFERROR('Fluent Raw Results'!$B$14*'Fluid Properties'!$H$14*(('Fluent Raw Results'!$G$14-'Fluent Raw Results'!$F$14)-Constants!$C$11*LN('Fluent Raw Results'!$G$14/'Fluent Raw Results'!$F$14))/(Constants!$C$9*Constants!$C$10*(1+(1/3)*(Constants!$C$11/Constants!$C$12)^4-(4/3)*(Constants!$C$11/Constants!$C$12))),"")</f>
        <v>0.174844061060482</v>
      </c>
      <c r="N14" s="1" t="n">
        <f aca="false">IFERROR(($I$14/$I$2)/($G$14/$G$2)^(1/3),"")</f>
        <v>0.951632344021105</v>
      </c>
      <c r="O14" s="1" t="str">
        <f aca="false">IFERROR('Fluent Raw Results'!$O$14/'Fluent Raw Results'!$N$14,"")</f>
        <v/>
      </c>
      <c r="P14" s="1" t="str">
        <f aca="false">IFERROR('Fluent Raw Results'!$N$14/'Fluent Raw Results'!$N$2,"")</f>
        <v/>
      </c>
      <c r="Q14" s="1" t="n">
        <f aca="false">IFERROR(ABS('Fluent Raw Results'!$B$14-'Fluent Raw Results'!$C$14)/'Fluent Raw Results'!$B$14*100,"")</f>
        <v>0.00333218168252901</v>
      </c>
    </row>
    <row r="15" customFormat="false" ht="15" hidden="false" customHeight="true" outlineLevel="0" collapsed="false">
      <c r="A15" s="1" t="n">
        <v>13</v>
      </c>
      <c r="B15" s="1" t="n">
        <f aca="false">(PI()*Constants!$C$4^2/4-('Run Matrix (Inputs)'!$J$15/1000)^2)+('Run Matrix (Inputs)'!$L$15/1000)^2</f>
        <v>0.00332519439975928</v>
      </c>
      <c r="C15" s="1" t="str">
        <f aca="false">IFERROR('Fluent Raw Results'!$B$15/('Fluid Properties'!$G$15*$B$15),"")</f>
        <v/>
      </c>
      <c r="D15" s="1" t="str">
        <f aca="false">IFERROR('Fluid Properties'!$G$15*$C$15*Constants!$C$4/'Fluid Properties'!$J$15,"")</f>
        <v/>
      </c>
      <c r="E15" s="1" t="str">
        <f aca="false">IF(OR('Fluent Raw Results'!$F$15="",'Fluent Raw Results'!$G$15=""),"",('Fluent Raw Results'!$F$15+'Fluent Raw Results'!$G$15)/2)</f>
        <v/>
      </c>
      <c r="F15" s="1" t="str">
        <f aca="false">IF(OR('Fluent Raw Results'!$D$15="",'Fluent Raw Results'!$E$15=""),"",'Fluent Raw Results'!$D$15-'Fluent Raw Results'!$E$15)</f>
        <v/>
      </c>
      <c r="G15" s="1" t="str">
        <f aca="false">IFERROR(2*'Fluent Raw Results'!$I$15/('Fluid Properties'!$G$15*$C$15^2),"")</f>
        <v/>
      </c>
      <c r="H15" s="1" t="str">
        <f aca="false">IFERROR('Fluent Raw Results'!$J$15/('Fluent Raw Results'!$H$15-$E$15),"")</f>
        <v/>
      </c>
      <c r="I15" s="1" t="str">
        <f aca="false">IFERROR($H$15*Constants!$C$4/'Fluid Properties'!$I$15,"")</f>
        <v/>
      </c>
      <c r="J15" s="1" t="str">
        <f aca="false">IFERROR('Fluent Raw Results'!$B$15*'Fluid Properties'!$H$15*('Fluent Raw Results'!$G$15-'Fluent Raw Results'!$F$15),"")</f>
        <v/>
      </c>
      <c r="K15" s="1" t="str">
        <f aca="false">IFERROR(('Fluent Raw Results'!$B$15/'Fluid Properties'!$G$15)*$F$15,"")</f>
        <v/>
      </c>
      <c r="L15" s="1" t="str">
        <f aca="false">IFERROR(($J$15-$K$15/Constants!$C$13)/(Constants!$C$9*Constants!$C$10),"")</f>
        <v/>
      </c>
      <c r="M15" s="1" t="str">
        <f aca="false">IFERROR('Fluent Raw Results'!$B$15*'Fluid Properties'!$H$15*(('Fluent Raw Results'!$G$15-'Fluent Raw Results'!$F$15)-Constants!$C$11*LN('Fluent Raw Results'!$G$15/'Fluent Raw Results'!$F$15))/(Constants!$C$9*Constants!$C$10*(1+(1/3)*(Constants!$C$11/Constants!$C$12)^4-(4/3)*(Constants!$C$11/Constants!$C$12))),"")</f>
        <v/>
      </c>
      <c r="N15" s="1" t="str">
        <f aca="false">IFERROR(($I$15/$I$2)/($G$15/$G$2)^(1/3),"")</f>
        <v/>
      </c>
      <c r="O15" s="1" t="str">
        <f aca="false">IFERROR('Fluent Raw Results'!$O$15/'Fluent Raw Results'!$N$15,"")</f>
        <v/>
      </c>
      <c r="P15" s="1" t="str">
        <f aca="false">IFERROR('Fluent Raw Results'!$N$15/'Fluent Raw Results'!$N$2,"")</f>
        <v/>
      </c>
      <c r="Q15" s="1" t="str">
        <f aca="false">IFERROR(ABS('Fluent Raw Results'!$B$15-'Fluent Raw Results'!$C$15)/'Fluent Raw Results'!$B$15*100,"")</f>
        <v/>
      </c>
    </row>
    <row r="16" customFormat="false" ht="15" hidden="false" customHeight="true" outlineLevel="0" collapsed="false">
      <c r="A16" s="1" t="n">
        <v>14</v>
      </c>
      <c r="B16" s="1" t="n">
        <f aca="false">(PI()*Constants!$C$4^2/4-('Run Matrix (Inputs)'!$J$16/1000)^2)+('Run Matrix (Inputs)'!$L$16/1000)^2</f>
        <v>0.00323719439975929</v>
      </c>
      <c r="C16" s="1" t="n">
        <f aca="false">IFERROR('Fluent Raw Results'!$B$16/('Fluid Properties'!$G$16*$B$16),"")</f>
        <v>0</v>
      </c>
      <c r="D16" s="1" t="n">
        <f aca="false">IFERROR('Fluid Properties'!$G$16*$C$16*Constants!$C$4/'Fluid Properties'!$J$16,"")</f>
        <v>0</v>
      </c>
      <c r="E16" s="1" t="str">
        <f aca="false">IF(OR('Fluent Raw Results'!$F$16="",'Fluent Raw Results'!$G$16=""),"",('Fluent Raw Results'!$F$16+'Fluent Raw Results'!$G$16)/2)</f>
        <v/>
      </c>
      <c r="F16" s="1" t="str">
        <f aca="false">IF(OR('Fluent Raw Results'!$D$16="",'Fluent Raw Results'!$E$16=""),"",'Fluent Raw Results'!$D$16-'Fluent Raw Results'!$E$16)</f>
        <v/>
      </c>
      <c r="G16" s="1" t="str">
        <f aca="false">IFERROR(2*'Fluent Raw Results'!$I$16/('Fluid Properties'!$G$16*$C$16^2),"")</f>
        <v/>
      </c>
      <c r="H16" s="1" t="str">
        <f aca="false">IFERROR('Fluent Raw Results'!$J$16/('Fluent Raw Results'!$H$16-$E$16),"")</f>
        <v/>
      </c>
      <c r="I16" s="1" t="str">
        <f aca="false">IFERROR($H$16*Constants!$C$4/'Fluid Properties'!$I$16,"")</f>
        <v/>
      </c>
      <c r="J16" s="1" t="n">
        <f aca="false">IFERROR('Fluent Raw Results'!$B$16*'Fluid Properties'!$H$16*('Fluent Raw Results'!$G$16-'Fluent Raw Results'!$F$16),"")</f>
        <v>0</v>
      </c>
      <c r="K16" s="1" t="str">
        <f aca="false">IFERROR(('Fluent Raw Results'!$B$16/'Fluid Properties'!$G$16)*$F$16,"")</f>
        <v/>
      </c>
      <c r="L16" s="1" t="str">
        <f aca="false">IFERROR(($J$16-$K$16/Constants!$C$13)/(Constants!$C$9*Constants!$C$10),"")</f>
        <v/>
      </c>
      <c r="M16" s="1" t="str">
        <f aca="false">IFERROR('Fluent Raw Results'!$B$16*'Fluid Properties'!$H$16*(('Fluent Raw Results'!$G$16-'Fluent Raw Results'!$F$16)-Constants!$C$11*LN('Fluent Raw Results'!$G$16/'Fluent Raw Results'!$F$16))/(Constants!$C$9*Constants!$C$10*(1+(1/3)*(Constants!$C$11/Constants!$C$12)^4-(4/3)*(Constants!$C$11/Constants!$C$12))),"")</f>
        <v/>
      </c>
      <c r="N16" s="1" t="str">
        <f aca="false">IFERROR(($I$16/$I$2)/($G$16/$G$2)^(1/3),"")</f>
        <v/>
      </c>
      <c r="O16" s="1" t="str">
        <f aca="false">IFERROR('Fluent Raw Results'!$O$16/'Fluent Raw Results'!$N$16,"")</f>
        <v/>
      </c>
      <c r="P16" s="1" t="str">
        <f aca="false">IFERROR('Fluent Raw Results'!$N$16/'Fluent Raw Results'!$N$2,"")</f>
        <v/>
      </c>
      <c r="Q16" s="1" t="str">
        <f aca="false">IFERROR(ABS('Fluent Raw Results'!$B$16-'Fluent Raw Results'!$C$16)/'Fluent Raw Results'!$B$16*100,"")</f>
        <v/>
      </c>
    </row>
    <row r="17" customFormat="false" ht="15" hidden="false" customHeight="true" outlineLevel="0" collapsed="false">
      <c r="A17" s="1" t="n">
        <v>15</v>
      </c>
      <c r="B17" s="1" t="n">
        <f aca="false">(PI()*Constants!$C$4^2/4-('Run Matrix (Inputs)'!$J$17/1000)^2)+('Run Matrix (Inputs)'!$L$17/1000)^2</f>
        <v>0.00315719439975929</v>
      </c>
      <c r="C17" s="1" t="str">
        <f aca="false">IFERROR('Fluent Raw Results'!$B$17/('Fluid Properties'!$G$17*$B$17),"")</f>
        <v/>
      </c>
      <c r="D17" s="1" t="str">
        <f aca="false">IFERROR('Fluid Properties'!$G$17*$C$17*Constants!$C$4/'Fluid Properties'!$J$17,"")</f>
        <v/>
      </c>
      <c r="E17" s="1" t="str">
        <f aca="false">IF(OR('Fluent Raw Results'!$F$17="",'Fluent Raw Results'!$G$17=""),"",('Fluent Raw Results'!$F$17+'Fluent Raw Results'!$G$17)/2)</f>
        <v/>
      </c>
      <c r="F17" s="1" t="str">
        <f aca="false">IF(OR('Fluent Raw Results'!$D$17="",'Fluent Raw Results'!$E$17=""),"",'Fluent Raw Results'!$D$17-'Fluent Raw Results'!$E$17)</f>
        <v/>
      </c>
      <c r="G17" s="1" t="str">
        <f aca="false">IFERROR(2*'Fluent Raw Results'!$I$17/('Fluid Properties'!$G$17*$C$17^2),"")</f>
        <v/>
      </c>
      <c r="H17" s="1" t="str">
        <f aca="false">IFERROR('Fluent Raw Results'!$J$17/('Fluent Raw Results'!$H$17-$E$17),"")</f>
        <v/>
      </c>
      <c r="I17" s="1" t="str">
        <f aca="false">IFERROR($H$17*Constants!$C$4/'Fluid Properties'!$I$17,"")</f>
        <v/>
      </c>
      <c r="J17" s="1" t="str">
        <f aca="false">IFERROR('Fluent Raw Results'!$B$17*'Fluid Properties'!$H$17*('Fluent Raw Results'!$G$17-'Fluent Raw Results'!$F$17),"")</f>
        <v/>
      </c>
      <c r="K17" s="1" t="str">
        <f aca="false">IFERROR(('Fluent Raw Results'!$B$17/'Fluid Properties'!$G$17)*$F$17,"")</f>
        <v/>
      </c>
      <c r="L17" s="1" t="str">
        <f aca="false">IFERROR(($J$17-$K$17/Constants!$C$13)/(Constants!$C$9*Constants!$C$10),"")</f>
        <v/>
      </c>
      <c r="M17" s="1" t="str">
        <f aca="false">IFERROR('Fluent Raw Results'!$B$17*'Fluid Properties'!$H$17*(('Fluent Raw Results'!$G$17-'Fluent Raw Results'!$F$17)-Constants!$C$11*LN('Fluent Raw Results'!$G$17/'Fluent Raw Results'!$F$17))/(Constants!$C$9*Constants!$C$10*(1+(1/3)*(Constants!$C$11/Constants!$C$12)^4-(4/3)*(Constants!$C$11/Constants!$C$12))),"")</f>
        <v/>
      </c>
      <c r="N17" s="1" t="str">
        <f aca="false">IFERROR(($I$17/$I$2)/($G$17/$G$2)^(1/3),"")</f>
        <v/>
      </c>
      <c r="O17" s="1" t="str">
        <f aca="false">IFERROR('Fluent Raw Results'!$O$17/'Fluent Raw Results'!$N$17,"")</f>
        <v/>
      </c>
      <c r="P17" s="1" t="str">
        <f aca="false">IFERROR('Fluent Raw Results'!$N$17/'Fluent Raw Results'!$N$2,"")</f>
        <v/>
      </c>
      <c r="Q17" s="1" t="str">
        <f aca="false">IFERROR(ABS('Fluent Raw Results'!$B$17-'Fluent Raw Results'!$C$17)/'Fluent Raw Results'!$B$17*100,"")</f>
        <v/>
      </c>
    </row>
    <row r="18" customFormat="false" ht="15" hidden="false" customHeight="true" outlineLevel="0" collapsed="false">
      <c r="A18" s="5" t="n">
        <v>16</v>
      </c>
      <c r="B18" s="5" t="n">
        <f aca="false">(PI()*Constants!$C$4^2/4-('Run Matrix (Inputs)'!$J$18/1000)^2)+('Run Matrix (Inputs)'!$L$18/1000)^2</f>
        <v>0.00323303439975929</v>
      </c>
      <c r="C18" s="5" t="n">
        <f aca="false">IFERROR('Fluent Raw Results'!$B$18/('Fluid Properties'!$G$18*$B$18),"")</f>
        <v>0</v>
      </c>
      <c r="D18" s="5" t="n">
        <f aca="false">IFERROR('Fluid Properties'!$G$18*$C$18*Constants!$C$4/'Fluid Properties'!$J$18,"")</f>
        <v>0</v>
      </c>
      <c r="E18" s="5" t="str">
        <f aca="false">IF(OR('Fluent Raw Results'!$F$18="",'Fluent Raw Results'!$G$18=""),"",('Fluent Raw Results'!$F$18+'Fluent Raw Results'!$G$18)/2)</f>
        <v/>
      </c>
      <c r="F18" s="5" t="str">
        <f aca="false">IF(OR('Fluent Raw Results'!$D$18="",'Fluent Raw Results'!$E$18=""),"",'Fluent Raw Results'!$D$18-'Fluent Raw Results'!$E$18)</f>
        <v/>
      </c>
      <c r="G18" s="5" t="str">
        <f aca="false">IFERROR(2*'Fluent Raw Results'!$I$18/('Fluid Properties'!$G$18*$C$18^2),"")</f>
        <v/>
      </c>
      <c r="H18" s="5" t="str">
        <f aca="false">IFERROR('Fluent Raw Results'!$J$18/('Fluent Raw Results'!$H$18-$E$18),"")</f>
        <v/>
      </c>
      <c r="I18" s="5" t="str">
        <f aca="false">IFERROR($H$18*Constants!$C$4/'Fluid Properties'!$I$18,"")</f>
        <v/>
      </c>
      <c r="J18" s="5" t="n">
        <f aca="false">IFERROR('Fluent Raw Results'!$B$18*'Fluid Properties'!$H$18*('Fluent Raw Results'!$G$18-'Fluent Raw Results'!$F$18),"")</f>
        <v>0</v>
      </c>
      <c r="K18" s="5" t="str">
        <f aca="false">IFERROR(('Fluent Raw Results'!$B$18/'Fluid Properties'!$G$18)*$F$18,"")</f>
        <v/>
      </c>
      <c r="L18" s="5" t="str">
        <f aca="false">IFERROR(($J$18-$K$18/Constants!$C$13)/(Constants!$C$9*Constants!$C$10),"")</f>
        <v/>
      </c>
      <c r="M18" s="5" t="str">
        <f aca="false">IFERROR('Fluent Raw Results'!$B$18*'Fluid Properties'!$H$18*(('Fluent Raw Results'!$G$18-'Fluent Raw Results'!$F$18)-Constants!$C$11*LN('Fluent Raw Results'!$G$18/'Fluent Raw Results'!$F$18))/(Constants!$C$9*Constants!$C$10*(1+(1/3)*(Constants!$C$11/Constants!$C$12)^4-(4/3)*(Constants!$C$11/Constants!$C$12))),"")</f>
        <v/>
      </c>
      <c r="N18" s="5" t="str">
        <f aca="false">IFERROR(($I$18/$I$2)/($G$18/$G$2)^(1/3),"")</f>
        <v/>
      </c>
      <c r="O18" s="5" t="str">
        <f aca="false">IFERROR('Fluent Raw Results'!$O$18/'Fluent Raw Results'!$N$18,"")</f>
        <v/>
      </c>
      <c r="P18" s="5" t="str">
        <f aca="false">IFERROR('Fluent Raw Results'!$N$18/'Fluent Raw Results'!$N$2,"")</f>
        <v/>
      </c>
      <c r="Q18" s="5" t="str">
        <f aca="false">IFERROR(ABS('Fluent Raw Results'!$B$18-'Fluent Raw Results'!$C$18)/'Fluent Raw Results'!$B$18*100,"")</f>
        <v/>
      </c>
    </row>
    <row r="19" customFormat="false" ht="15" hidden="false" customHeight="true" outlineLevel="0" collapsed="false">
      <c r="A19" s="1" t="n">
        <v>17</v>
      </c>
      <c r="B19" s="1" t="n">
        <f aca="false">(PI()*Constants!$C$4^2/4-('Run Matrix (Inputs)'!$J$19/1000)^2)+('Run Matrix (Inputs)'!$L$19/1000)^2</f>
        <v>0.00306055439975928</v>
      </c>
      <c r="C19" s="1" t="str">
        <f aca="false">IFERROR('Fluent Raw Results'!$B$19/('Fluid Properties'!$G$19*$B$19),"")</f>
        <v/>
      </c>
      <c r="D19" s="1" t="str">
        <f aca="false">IFERROR('Fluid Properties'!$G$19*$C$19*Constants!$C$4/'Fluid Properties'!$J$19,"")</f>
        <v/>
      </c>
      <c r="E19" s="1" t="str">
        <f aca="false">IF(OR('Fluent Raw Results'!$F$19="",'Fluent Raw Results'!$G$19=""),"",('Fluent Raw Results'!$F$19+'Fluent Raw Results'!$G$19)/2)</f>
        <v/>
      </c>
      <c r="F19" s="1" t="str">
        <f aca="false">IF(OR('Fluent Raw Results'!$D$19="",'Fluent Raw Results'!$E$19=""),"",'Fluent Raw Results'!$D$19-'Fluent Raw Results'!$E$19)</f>
        <v/>
      </c>
      <c r="G19" s="1" t="str">
        <f aca="false">IFERROR(2*'Fluent Raw Results'!$I$19/('Fluid Properties'!$G$19*$C$19^2),"")</f>
        <v/>
      </c>
      <c r="H19" s="1" t="str">
        <f aca="false">IFERROR('Fluent Raw Results'!$J$19/('Fluent Raw Results'!$H$19-$E$19),"")</f>
        <v/>
      </c>
      <c r="I19" s="1" t="str">
        <f aca="false">IFERROR($H$19*Constants!$C$4/'Fluid Properties'!$I$19,"")</f>
        <v/>
      </c>
      <c r="J19" s="1" t="str">
        <f aca="false">IFERROR('Fluent Raw Results'!$B$19*'Fluid Properties'!$H$19*('Fluent Raw Results'!$G$19-'Fluent Raw Results'!$F$19),"")</f>
        <v/>
      </c>
      <c r="K19" s="1" t="str">
        <f aca="false">IFERROR(('Fluent Raw Results'!$B$19/'Fluid Properties'!$G$19)*$F$19,"")</f>
        <v/>
      </c>
      <c r="L19" s="1" t="str">
        <f aca="false">IFERROR(($J$19-$K$19/Constants!$C$13)/(Constants!$C$9*Constants!$C$10),"")</f>
        <v/>
      </c>
      <c r="M19" s="1" t="str">
        <f aca="false">IFERROR('Fluent Raw Results'!$B$19*'Fluid Properties'!$H$19*(('Fluent Raw Results'!$G$19-'Fluent Raw Results'!$F$19)-Constants!$C$11*LN('Fluent Raw Results'!$G$19/'Fluent Raw Results'!$F$19))/(Constants!$C$9*Constants!$C$10*(1+(1/3)*(Constants!$C$11/Constants!$C$12)^4-(4/3)*(Constants!$C$11/Constants!$C$12))),"")</f>
        <v/>
      </c>
      <c r="N19" s="1" t="str">
        <f aca="false">IFERROR(($I$19/$I$2)/($G$19/$G$2)^(1/3),"")</f>
        <v/>
      </c>
      <c r="O19" s="1" t="str">
        <f aca="false">IFERROR('Fluent Raw Results'!$O$19/'Fluent Raw Results'!$N$19,"")</f>
        <v/>
      </c>
      <c r="P19" s="1" t="str">
        <f aca="false">IFERROR('Fluent Raw Results'!$N$19/'Fluent Raw Results'!$N$2,"")</f>
        <v/>
      </c>
      <c r="Q19" s="1" t="str">
        <f aca="false">IFERROR(ABS('Fluent Raw Results'!$B$19-'Fluent Raw Results'!$C$19)/'Fluent Raw Results'!$B$19*100,"")</f>
        <v/>
      </c>
    </row>
    <row r="20" customFormat="false" ht="15" hidden="false" customHeight="true" outlineLevel="0" collapsed="false">
      <c r="A20" s="1" t="n">
        <v>18</v>
      </c>
      <c r="B20" s="1" t="n">
        <f aca="false">(PI()*Constants!$C$4^2/4-('Run Matrix (Inputs)'!$J$20/1000)^2)+('Run Matrix (Inputs)'!$L$20/1000)^2</f>
        <v>0.00290375439975929</v>
      </c>
      <c r="C20" s="1" t="str">
        <f aca="false">IFERROR('Fluent Raw Results'!$B$20/('Fluid Properties'!$G$20*$B$20),"")</f>
        <v/>
      </c>
      <c r="D20" s="1" t="str">
        <f aca="false">IFERROR('Fluid Properties'!$G$20*$C$20*Constants!$C$4/'Fluid Properties'!$J$20,"")</f>
        <v/>
      </c>
      <c r="E20" s="1" t="str">
        <f aca="false">IF(OR('Fluent Raw Results'!$F$20="",'Fluent Raw Results'!$G$20=""),"",('Fluent Raw Results'!$F$20+'Fluent Raw Results'!$G$20)/2)</f>
        <v/>
      </c>
      <c r="F20" s="1" t="str">
        <f aca="false">IF(OR('Fluent Raw Results'!$D$20="",'Fluent Raw Results'!$E$20=""),"",'Fluent Raw Results'!$D$20-'Fluent Raw Results'!$E$20)</f>
        <v/>
      </c>
      <c r="G20" s="1" t="str">
        <f aca="false">IFERROR(2*'Fluent Raw Results'!$I$20/('Fluid Properties'!$G$20*$C$20^2),"")</f>
        <v/>
      </c>
      <c r="H20" s="1" t="str">
        <f aca="false">IFERROR('Fluent Raw Results'!$J$20/('Fluent Raw Results'!$H$20-$E$20),"")</f>
        <v/>
      </c>
      <c r="I20" s="1" t="str">
        <f aca="false">IFERROR($H$20*Constants!$C$4/'Fluid Properties'!$I$20,"")</f>
        <v/>
      </c>
      <c r="J20" s="1" t="str">
        <f aca="false">IFERROR('Fluent Raw Results'!$B$20*'Fluid Properties'!$H$20*('Fluent Raw Results'!$G$20-'Fluent Raw Results'!$F$20),"")</f>
        <v/>
      </c>
      <c r="K20" s="1" t="str">
        <f aca="false">IFERROR(('Fluent Raw Results'!$B$20/'Fluid Properties'!$G$20)*$F$20,"")</f>
        <v/>
      </c>
      <c r="L20" s="1" t="str">
        <f aca="false">IFERROR(($J$20-$K$20/Constants!$C$13)/(Constants!$C$9*Constants!$C$10),"")</f>
        <v/>
      </c>
      <c r="M20" s="1" t="str">
        <f aca="false">IFERROR('Fluent Raw Results'!$B$20*'Fluid Properties'!$H$20*(('Fluent Raw Results'!$G$20-'Fluent Raw Results'!$F$20)-Constants!$C$11*LN('Fluent Raw Results'!$G$20/'Fluent Raw Results'!$F$20))/(Constants!$C$9*Constants!$C$10*(1+(1/3)*(Constants!$C$11/Constants!$C$12)^4-(4/3)*(Constants!$C$11/Constants!$C$12))),"")</f>
        <v/>
      </c>
      <c r="N20" s="1" t="str">
        <f aca="false">IFERROR(($I$20/$I$2)/($G$20/$G$2)^(1/3),"")</f>
        <v/>
      </c>
      <c r="O20" s="1" t="str">
        <f aca="false">IFERROR('Fluent Raw Results'!$O$20/'Fluent Raw Results'!$N$20,"")</f>
        <v/>
      </c>
      <c r="P20" s="1" t="str">
        <f aca="false">IFERROR('Fluent Raw Results'!$N$20/'Fluent Raw Results'!$N$2,"")</f>
        <v/>
      </c>
      <c r="Q20" s="1" t="str">
        <f aca="false">IFERROR(ABS('Fluent Raw Results'!$B$20-'Fluent Raw Results'!$C$20)/'Fluent Raw Results'!$B$20*100,"")</f>
        <v/>
      </c>
    </row>
    <row r="21" customFormat="false" ht="15" hidden="false" customHeight="true" outlineLevel="0" collapsed="false">
      <c r="A21" s="1" t="n">
        <v>19</v>
      </c>
      <c r="B21" s="1" t="n">
        <f aca="false">(PI()*Constants!$C$4^2/4-('Run Matrix (Inputs)'!$J$21/1000)^2)+('Run Matrix (Inputs)'!$L$21/1000)^2</f>
        <v>0.00338663439975929</v>
      </c>
      <c r="C21" s="1" t="str">
        <f aca="false">IFERROR('Fluent Raw Results'!$B$21/('Fluid Properties'!$G$21*$B$21),"")</f>
        <v/>
      </c>
      <c r="D21" s="1" t="str">
        <f aca="false">IFERROR('Fluid Properties'!$G$21*$C$21*Constants!$C$4/'Fluid Properties'!$J$21,"")</f>
        <v/>
      </c>
      <c r="E21" s="1" t="str">
        <f aca="false">IF(OR('Fluent Raw Results'!$F$21="",'Fluent Raw Results'!$G$21=""),"",('Fluent Raw Results'!$F$21+'Fluent Raw Results'!$G$21)/2)</f>
        <v/>
      </c>
      <c r="F21" s="1" t="str">
        <f aca="false">IF(OR('Fluent Raw Results'!$D$21="",'Fluent Raw Results'!$E$21=""),"",'Fluent Raw Results'!$D$21-'Fluent Raw Results'!$E$21)</f>
        <v/>
      </c>
      <c r="G21" s="1" t="str">
        <f aca="false">IFERROR(2*'Fluent Raw Results'!$I$21/('Fluid Properties'!$G$21*$C$21^2),"")</f>
        <v/>
      </c>
      <c r="H21" s="1" t="str">
        <f aca="false">IFERROR('Fluent Raw Results'!$J$21/('Fluent Raw Results'!$H$21-$E$21),"")</f>
        <v/>
      </c>
      <c r="I21" s="1" t="str">
        <f aca="false">IFERROR($H$21*Constants!$C$4/'Fluid Properties'!$I$21,"")</f>
        <v/>
      </c>
      <c r="J21" s="1" t="str">
        <f aca="false">IFERROR('Fluent Raw Results'!$B$21*'Fluid Properties'!$H$21*('Fluent Raw Results'!$G$21-'Fluent Raw Results'!$F$21),"")</f>
        <v/>
      </c>
      <c r="K21" s="1" t="str">
        <f aca="false">IFERROR(('Fluent Raw Results'!$B$21/'Fluid Properties'!$G$21)*$F$21,"")</f>
        <v/>
      </c>
      <c r="L21" s="1" t="str">
        <f aca="false">IFERROR(($J$21-$K$21/Constants!$C$13)/(Constants!$C$9*Constants!$C$10),"")</f>
        <v/>
      </c>
      <c r="M21" s="1" t="str">
        <f aca="false">IFERROR('Fluent Raw Results'!$B$21*'Fluid Properties'!$H$21*(('Fluent Raw Results'!$G$21-'Fluent Raw Results'!$F$21)-Constants!$C$11*LN('Fluent Raw Results'!$G$21/'Fluent Raw Results'!$F$21))/(Constants!$C$9*Constants!$C$10*(1+(1/3)*(Constants!$C$11/Constants!$C$12)^4-(4/3)*(Constants!$C$11/Constants!$C$12))),"")</f>
        <v/>
      </c>
      <c r="N21" s="1" t="str">
        <f aca="false">IFERROR(($I$21/$I$2)/($G$21/$G$2)^(1/3),"")</f>
        <v/>
      </c>
      <c r="O21" s="1" t="str">
        <f aca="false">IFERROR('Fluent Raw Results'!$O$21/'Fluent Raw Results'!$N$21,"")</f>
        <v/>
      </c>
      <c r="P21" s="1" t="str">
        <f aca="false">IFERROR('Fluent Raw Results'!$N$21/'Fluent Raw Results'!$N$2,"")</f>
        <v/>
      </c>
      <c r="Q21" s="1" t="str">
        <f aca="false">IFERROR(ABS('Fluent Raw Results'!$B$21-'Fluent Raw Results'!$C$21)/'Fluent Raw Results'!$B$21*100,"")</f>
        <v/>
      </c>
    </row>
    <row r="22" customFormat="false" ht="15" hidden="false" customHeight="true" outlineLevel="0" collapsed="false">
      <c r="A22" s="1" t="n">
        <v>20</v>
      </c>
      <c r="B22" s="1" t="n">
        <f aca="false">(PI()*Constants!$C$4^2/4-('Run Matrix (Inputs)'!$J$22/1000)^2)+('Run Matrix (Inputs)'!$L$22/1000)^2</f>
        <v>0.00335495439975929</v>
      </c>
      <c r="C22" s="1" t="n">
        <f aca="false">IFERROR('Fluent Raw Results'!$B$22/('Fluid Properties'!$G$22*$B$22),"")</f>
        <v>0</v>
      </c>
      <c r="D22" s="1" t="n">
        <f aca="false">IFERROR('Fluid Properties'!$G$22*$C$22*Constants!$C$4/'Fluid Properties'!$J$22,"")</f>
        <v>0</v>
      </c>
      <c r="E22" s="1" t="str">
        <f aca="false">IF(OR('Fluent Raw Results'!$F$22="",'Fluent Raw Results'!$G$22=""),"",('Fluent Raw Results'!$F$22+'Fluent Raw Results'!$G$22)/2)</f>
        <v/>
      </c>
      <c r="F22" s="1" t="str">
        <f aca="false">IF(OR('Fluent Raw Results'!$D$22="",'Fluent Raw Results'!$E$22=""),"",'Fluent Raw Results'!$D$22-'Fluent Raw Results'!$E$22)</f>
        <v/>
      </c>
      <c r="G22" s="1" t="str">
        <f aca="false">IFERROR(2*'Fluent Raw Results'!$I$22/('Fluid Properties'!$G$22*$C$22^2),"")</f>
        <v/>
      </c>
      <c r="H22" s="1" t="str">
        <f aca="false">IFERROR('Fluent Raw Results'!$J$22/('Fluent Raw Results'!$H$22-$E$22),"")</f>
        <v/>
      </c>
      <c r="I22" s="1" t="str">
        <f aca="false">IFERROR($H$22*Constants!$C$4/'Fluid Properties'!$I$22,"")</f>
        <v/>
      </c>
      <c r="J22" s="1" t="n">
        <f aca="false">IFERROR('Fluent Raw Results'!$B$22*'Fluid Properties'!$H$22*('Fluent Raw Results'!$G$22-'Fluent Raw Results'!$F$22),"")</f>
        <v>0</v>
      </c>
      <c r="K22" s="1" t="str">
        <f aca="false">IFERROR(('Fluent Raw Results'!$B$22/'Fluid Properties'!$G$22)*$F$22,"")</f>
        <v/>
      </c>
      <c r="L22" s="1" t="str">
        <f aca="false">IFERROR(($J$22-$K$22/Constants!$C$13)/(Constants!$C$9*Constants!$C$10),"")</f>
        <v/>
      </c>
      <c r="M22" s="1" t="str">
        <f aca="false">IFERROR('Fluent Raw Results'!$B$22*'Fluid Properties'!$H$22*(('Fluent Raw Results'!$G$22-'Fluent Raw Results'!$F$22)-Constants!$C$11*LN('Fluent Raw Results'!$G$22/'Fluent Raw Results'!$F$22))/(Constants!$C$9*Constants!$C$10*(1+(1/3)*(Constants!$C$11/Constants!$C$12)^4-(4/3)*(Constants!$C$11/Constants!$C$12))),"")</f>
        <v/>
      </c>
      <c r="N22" s="1" t="str">
        <f aca="false">IFERROR(($I$22/$I$2)/($G$22/$G$2)^(1/3),"")</f>
        <v/>
      </c>
      <c r="O22" s="1" t="str">
        <f aca="false">IFERROR('Fluent Raw Results'!$O$22/'Fluent Raw Results'!$N$22,"")</f>
        <v/>
      </c>
      <c r="P22" s="1" t="str">
        <f aca="false">IFERROR('Fluent Raw Results'!$N$22/'Fluent Raw Results'!$N$2,"")</f>
        <v/>
      </c>
      <c r="Q22" s="1" t="str">
        <f aca="false">IFERROR(ABS('Fluent Raw Results'!$B$22-'Fluent Raw Results'!$C$22)/'Fluent Raw Results'!$B$22*100,"")</f>
        <v/>
      </c>
    </row>
    <row r="23" customFormat="false" ht="15" hidden="false" customHeight="true" outlineLevel="0" collapsed="false">
      <c r="A23" s="1" t="n">
        <v>21</v>
      </c>
      <c r="B23" s="1" t="n">
        <f aca="false">(PI()*Constants!$C$4^2/4-('Run Matrix (Inputs)'!$J$23/1000)^2)+('Run Matrix (Inputs)'!$L$23/1000)^2</f>
        <v>0.00332615439975929</v>
      </c>
      <c r="C23" s="1" t="str">
        <f aca="false">IFERROR('Fluent Raw Results'!$B$23/('Fluid Properties'!$G$23*$B$23),"")</f>
        <v/>
      </c>
      <c r="D23" s="1" t="str">
        <f aca="false">IFERROR('Fluid Properties'!$G$23*$C$23*Constants!$C$4/'Fluid Properties'!$J$23,"")</f>
        <v/>
      </c>
      <c r="E23" s="1" t="str">
        <f aca="false">IF(OR('Fluent Raw Results'!$F$23="",'Fluent Raw Results'!$G$23=""),"",('Fluent Raw Results'!$F$23+'Fluent Raw Results'!$G$23)/2)</f>
        <v/>
      </c>
      <c r="F23" s="1" t="str">
        <f aca="false">IF(OR('Fluent Raw Results'!$D$23="",'Fluent Raw Results'!$E$23=""),"",'Fluent Raw Results'!$D$23-'Fluent Raw Results'!$E$23)</f>
        <v/>
      </c>
      <c r="G23" s="1" t="str">
        <f aca="false">IFERROR(2*'Fluent Raw Results'!$I$23/('Fluid Properties'!$G$23*$C$23^2),"")</f>
        <v/>
      </c>
      <c r="H23" s="1" t="str">
        <f aca="false">IFERROR('Fluent Raw Results'!$J$23/('Fluent Raw Results'!$H$23-$E$23),"")</f>
        <v/>
      </c>
      <c r="I23" s="1" t="str">
        <f aca="false">IFERROR($H$23*Constants!$C$4/'Fluid Properties'!$I$23,"")</f>
        <v/>
      </c>
      <c r="J23" s="1" t="str">
        <f aca="false">IFERROR('Fluent Raw Results'!$B$23*'Fluid Properties'!$H$23*('Fluent Raw Results'!$G$23-'Fluent Raw Results'!$F$23),"")</f>
        <v/>
      </c>
      <c r="K23" s="1" t="str">
        <f aca="false">IFERROR(('Fluent Raw Results'!$B$23/'Fluid Properties'!$G$23)*$F$23,"")</f>
        <v/>
      </c>
      <c r="L23" s="1" t="str">
        <f aca="false">IFERROR(($J$23-$K$23/Constants!$C$13)/(Constants!$C$9*Constants!$C$10),"")</f>
        <v/>
      </c>
      <c r="M23" s="1" t="str">
        <f aca="false">IFERROR('Fluent Raw Results'!$B$23*'Fluid Properties'!$H$23*(('Fluent Raw Results'!$G$23-'Fluent Raw Results'!$F$23)-Constants!$C$11*LN('Fluent Raw Results'!$G$23/'Fluent Raw Results'!$F$23))/(Constants!$C$9*Constants!$C$10*(1+(1/3)*(Constants!$C$11/Constants!$C$12)^4-(4/3)*(Constants!$C$11/Constants!$C$12))),"")</f>
        <v/>
      </c>
      <c r="N23" s="1" t="str">
        <f aca="false">IFERROR(($I$23/$I$2)/($G$23/$G$2)^(1/3),"")</f>
        <v/>
      </c>
      <c r="O23" s="1" t="str">
        <f aca="false">IFERROR('Fluent Raw Results'!$O$23/'Fluent Raw Results'!$N$23,"")</f>
        <v/>
      </c>
      <c r="P23" s="1" t="str">
        <f aca="false">IFERROR('Fluent Raw Results'!$N$23/'Fluent Raw Results'!$N$2,"")</f>
        <v/>
      </c>
      <c r="Q23" s="1" t="str">
        <f aca="false">IFERROR(ABS('Fluent Raw Results'!$B$23-'Fluent Raw Results'!$C$23)/'Fluent Raw Results'!$B$23*100,"")</f>
        <v/>
      </c>
    </row>
    <row r="24" customFormat="false" ht="15" hidden="false" customHeight="true" outlineLevel="0" collapsed="false">
      <c r="A24" s="1" t="n">
        <v>22</v>
      </c>
      <c r="B24" s="1" t="n">
        <f aca="false">(PI()*Constants!$C$4^2/4-('Run Matrix (Inputs)'!$J$24/1000)^2)+('Run Matrix (Inputs)'!$L$24/1000)^2</f>
        <v>0.00332519439975928</v>
      </c>
      <c r="C24" s="1" t="n">
        <f aca="false">IFERROR('Fluent Raw Results'!$B$24/('Fluid Properties'!$G$24*$B$24),"")</f>
        <v>0</v>
      </c>
      <c r="D24" s="1" t="n">
        <f aca="false">IFERROR('Fluid Properties'!$G$24*$C$24*Constants!$C$4/'Fluid Properties'!$J$24,"")</f>
        <v>0</v>
      </c>
      <c r="E24" s="1" t="str">
        <f aca="false">IF(OR('Fluent Raw Results'!$F$24="",'Fluent Raw Results'!$G$24=""),"",('Fluent Raw Results'!$F$24+'Fluent Raw Results'!$G$24)/2)</f>
        <v/>
      </c>
      <c r="F24" s="1" t="str">
        <f aca="false">IF(OR('Fluent Raw Results'!$D$24="",'Fluent Raw Results'!$E$24=""),"",'Fluent Raw Results'!$D$24-'Fluent Raw Results'!$E$24)</f>
        <v/>
      </c>
      <c r="G24" s="1" t="str">
        <f aca="false">IFERROR(2*'Fluent Raw Results'!$I$24/('Fluid Properties'!$G$24*$C$24^2),"")</f>
        <v/>
      </c>
      <c r="H24" s="1" t="str">
        <f aca="false">IFERROR('Fluent Raw Results'!$J$24/('Fluent Raw Results'!$H$24-$E$24),"")</f>
        <v/>
      </c>
      <c r="I24" s="1" t="str">
        <f aca="false">IFERROR($H$24*Constants!$C$4/'Fluid Properties'!$I$24,"")</f>
        <v/>
      </c>
      <c r="J24" s="1" t="n">
        <f aca="false">IFERROR('Fluent Raw Results'!$B$24*'Fluid Properties'!$H$24*('Fluent Raw Results'!$G$24-'Fluent Raw Results'!$F$24),"")</f>
        <v>0</v>
      </c>
      <c r="K24" s="1" t="str">
        <f aca="false">IFERROR(('Fluent Raw Results'!$B$24/'Fluid Properties'!$G$24)*$F$24,"")</f>
        <v/>
      </c>
      <c r="L24" s="1" t="str">
        <f aca="false">IFERROR(($J$24-$K$24/Constants!$C$13)/(Constants!$C$9*Constants!$C$10),"")</f>
        <v/>
      </c>
      <c r="M24" s="1" t="str">
        <f aca="false">IFERROR('Fluent Raw Results'!$B$24*'Fluid Properties'!$H$24*(('Fluent Raw Results'!$G$24-'Fluent Raw Results'!$F$24)-Constants!$C$11*LN('Fluent Raw Results'!$G$24/'Fluent Raw Results'!$F$24))/(Constants!$C$9*Constants!$C$10*(1+(1/3)*(Constants!$C$11/Constants!$C$12)^4-(4/3)*(Constants!$C$11/Constants!$C$12))),"")</f>
        <v/>
      </c>
      <c r="N24" s="1" t="str">
        <f aca="false">IFERROR(($I$24/$I$2)/($G$24/$G$2)^(1/3),"")</f>
        <v/>
      </c>
      <c r="O24" s="1" t="str">
        <f aca="false">IFERROR('Fluent Raw Results'!$O$24/'Fluent Raw Results'!$N$24,"")</f>
        <v/>
      </c>
      <c r="P24" s="1" t="str">
        <f aca="false">IFERROR('Fluent Raw Results'!$N$24/'Fluent Raw Results'!$N$2,"")</f>
        <v/>
      </c>
      <c r="Q24" s="1" t="str">
        <f aca="false">IFERROR(ABS('Fluent Raw Results'!$B$24-'Fluent Raw Results'!$C$24)/'Fluent Raw Results'!$B$24*100,"")</f>
        <v/>
      </c>
    </row>
    <row r="25" customFormat="false" ht="15" hidden="false" customHeight="true" outlineLevel="0" collapsed="false">
      <c r="A25" s="1" t="n">
        <v>23</v>
      </c>
      <c r="B25" s="1" t="n">
        <f aca="false">(PI()*Constants!$C$4^2/4-('Run Matrix (Inputs)'!$J$25/1000)^2)+('Run Matrix (Inputs)'!$L$25/1000)^2</f>
        <v>0.00323719439975929</v>
      </c>
      <c r="C25" s="1" t="str">
        <f aca="false">IFERROR('Fluent Raw Results'!$B$25/('Fluid Properties'!$G$25*$B$25),"")</f>
        <v/>
      </c>
      <c r="D25" s="1" t="str">
        <f aca="false">IFERROR('Fluid Properties'!$G$25*$C$25*Constants!$C$4/'Fluid Properties'!$J$25,"")</f>
        <v/>
      </c>
      <c r="E25" s="1" t="str">
        <f aca="false">IF(OR('Fluent Raw Results'!$F$25="",'Fluent Raw Results'!$G$25=""),"",('Fluent Raw Results'!$F$25+'Fluent Raw Results'!$G$25)/2)</f>
        <v/>
      </c>
      <c r="F25" s="1" t="str">
        <f aca="false">IF(OR('Fluent Raw Results'!$D$25="",'Fluent Raw Results'!$E$25=""),"",'Fluent Raw Results'!$D$25-'Fluent Raw Results'!$E$25)</f>
        <v/>
      </c>
      <c r="G25" s="1" t="str">
        <f aca="false">IFERROR(2*'Fluent Raw Results'!$I$25/('Fluid Properties'!$G$25*$C$25^2),"")</f>
        <v/>
      </c>
      <c r="H25" s="1" t="str">
        <f aca="false">IFERROR('Fluent Raw Results'!$J$25/('Fluent Raw Results'!$H$25-$E$25),"")</f>
        <v/>
      </c>
      <c r="I25" s="1" t="str">
        <f aca="false">IFERROR($H$25*Constants!$C$4/'Fluid Properties'!$I$25,"")</f>
        <v/>
      </c>
      <c r="J25" s="1" t="str">
        <f aca="false">IFERROR('Fluent Raw Results'!$B$25*'Fluid Properties'!$H$25*('Fluent Raw Results'!$G$25-'Fluent Raw Results'!$F$25),"")</f>
        <v/>
      </c>
      <c r="K25" s="1" t="str">
        <f aca="false">IFERROR(('Fluent Raw Results'!$B$25/'Fluid Properties'!$G$25)*$F$25,"")</f>
        <v/>
      </c>
      <c r="L25" s="1" t="str">
        <f aca="false">IFERROR(($J$25-$K$25/Constants!$C$13)/(Constants!$C$9*Constants!$C$10),"")</f>
        <v/>
      </c>
      <c r="M25" s="1" t="str">
        <f aca="false">IFERROR('Fluent Raw Results'!$B$25*'Fluid Properties'!$H$25*(('Fluent Raw Results'!$G$25-'Fluent Raw Results'!$F$25)-Constants!$C$11*LN('Fluent Raw Results'!$G$25/'Fluent Raw Results'!$F$25))/(Constants!$C$9*Constants!$C$10*(1+(1/3)*(Constants!$C$11/Constants!$C$12)^4-(4/3)*(Constants!$C$11/Constants!$C$12))),"")</f>
        <v/>
      </c>
      <c r="N25" s="1" t="str">
        <f aca="false">IFERROR(($I$25/$I$2)/($G$25/$G$2)^(1/3),"")</f>
        <v/>
      </c>
      <c r="O25" s="1" t="str">
        <f aca="false">IFERROR('Fluent Raw Results'!$O$25/'Fluent Raw Results'!$N$25,"")</f>
        <v/>
      </c>
      <c r="P25" s="1" t="str">
        <f aca="false">IFERROR('Fluent Raw Results'!$N$25/'Fluent Raw Results'!$N$2,"")</f>
        <v/>
      </c>
      <c r="Q25" s="1" t="str">
        <f aca="false">IFERROR(ABS('Fluent Raw Results'!$B$25-'Fluent Raw Results'!$C$25)/'Fluent Raw Results'!$B$25*100,"")</f>
        <v/>
      </c>
    </row>
    <row r="26" customFormat="false" ht="15" hidden="false" customHeight="true" outlineLevel="0" collapsed="false">
      <c r="A26" s="1" t="n">
        <v>24</v>
      </c>
      <c r="B26" s="1" t="n">
        <f aca="false">(PI()*Constants!$C$4^2/4-('Run Matrix (Inputs)'!$J$26/1000)^2)+('Run Matrix (Inputs)'!$L$26/1000)^2</f>
        <v>0.00315719439975929</v>
      </c>
      <c r="C26" s="1" t="str">
        <f aca="false">IFERROR('Fluent Raw Results'!$B$26/('Fluid Properties'!$G$26*$B$26),"")</f>
        <v/>
      </c>
      <c r="D26" s="1" t="str">
        <f aca="false">IFERROR('Fluid Properties'!$G$26*$C$26*Constants!$C$4/'Fluid Properties'!$J$26,"")</f>
        <v/>
      </c>
      <c r="E26" s="1" t="str">
        <f aca="false">IF(OR('Fluent Raw Results'!$F$26="",'Fluent Raw Results'!$G$26=""),"",('Fluent Raw Results'!$F$26+'Fluent Raw Results'!$G$26)/2)</f>
        <v/>
      </c>
      <c r="F26" s="1" t="str">
        <f aca="false">IF(OR('Fluent Raw Results'!$D$26="",'Fluent Raw Results'!$E$26=""),"",'Fluent Raw Results'!$D$26-'Fluent Raw Results'!$E$26)</f>
        <v/>
      </c>
      <c r="G26" s="1" t="str">
        <f aca="false">IFERROR(2*'Fluent Raw Results'!$I$26/('Fluid Properties'!$G$26*$C$26^2),"")</f>
        <v/>
      </c>
      <c r="H26" s="1" t="str">
        <f aca="false">IFERROR('Fluent Raw Results'!$J$26/('Fluent Raw Results'!$H$26-$E$26),"")</f>
        <v/>
      </c>
      <c r="I26" s="1" t="str">
        <f aca="false">IFERROR($H$26*Constants!$C$4/'Fluid Properties'!$I$26,"")</f>
        <v/>
      </c>
      <c r="J26" s="1" t="str">
        <f aca="false">IFERROR('Fluent Raw Results'!$B$26*'Fluid Properties'!$H$26*('Fluent Raw Results'!$G$26-'Fluent Raw Results'!$F$26),"")</f>
        <v/>
      </c>
      <c r="K26" s="1" t="str">
        <f aca="false">IFERROR(('Fluent Raw Results'!$B$26/'Fluid Properties'!$G$26)*$F$26,"")</f>
        <v/>
      </c>
      <c r="L26" s="1" t="str">
        <f aca="false">IFERROR(($J$26-$K$26/Constants!$C$13)/(Constants!$C$9*Constants!$C$10),"")</f>
        <v/>
      </c>
      <c r="M26" s="1" t="str">
        <f aca="false">IFERROR('Fluent Raw Results'!$B$26*'Fluid Properties'!$H$26*(('Fluent Raw Results'!$G$26-'Fluent Raw Results'!$F$26)-Constants!$C$11*LN('Fluent Raw Results'!$G$26/'Fluent Raw Results'!$F$26))/(Constants!$C$9*Constants!$C$10*(1+(1/3)*(Constants!$C$11/Constants!$C$12)^4-(4/3)*(Constants!$C$11/Constants!$C$12))),"")</f>
        <v/>
      </c>
      <c r="N26" s="1" t="str">
        <f aca="false">IFERROR(($I$26/$I$2)/($G$26/$G$2)^(1/3),"")</f>
        <v/>
      </c>
      <c r="O26" s="1" t="str">
        <f aca="false">IFERROR('Fluent Raw Results'!$O$26/'Fluent Raw Results'!$N$26,"")</f>
        <v/>
      </c>
      <c r="P26" s="1" t="str">
        <f aca="false">IFERROR('Fluent Raw Results'!$N$26/'Fluent Raw Results'!$N$2,"")</f>
        <v/>
      </c>
      <c r="Q26" s="1" t="str">
        <f aca="false">IFERROR(ABS('Fluent Raw Results'!$B$26-'Fluent Raw Results'!$C$26)/'Fluent Raw Results'!$B$26*100,"")</f>
        <v/>
      </c>
    </row>
    <row r="27" customFormat="false" ht="15" hidden="false" customHeight="true" outlineLevel="0" collapsed="false">
      <c r="A27" s="1" t="n">
        <v>25</v>
      </c>
      <c r="B27" s="1" t="n">
        <f aca="false">(PI()*Constants!$C$4^2/4-('Run Matrix (Inputs)'!$J$27/1000)^2)+('Run Matrix (Inputs)'!$L$27/1000)^2</f>
        <v>0.00323303439975929</v>
      </c>
      <c r="C27" s="1" t="str">
        <f aca="false">IFERROR('Fluent Raw Results'!$B$27/('Fluid Properties'!$G$27*$B$27),"")</f>
        <v/>
      </c>
      <c r="D27" s="1" t="str">
        <f aca="false">IFERROR('Fluid Properties'!$G$27*$C$27*Constants!$C$4/'Fluid Properties'!$J$27,"")</f>
        <v/>
      </c>
      <c r="E27" s="1" t="str">
        <f aca="false">IF(OR('Fluent Raw Results'!$F$27="",'Fluent Raw Results'!$G$27=""),"",('Fluent Raw Results'!$F$27+'Fluent Raw Results'!$G$27)/2)</f>
        <v/>
      </c>
      <c r="F27" s="1" t="str">
        <f aca="false">IF(OR('Fluent Raw Results'!$D$27="",'Fluent Raw Results'!$E$27=""),"",'Fluent Raw Results'!$D$27-'Fluent Raw Results'!$E$27)</f>
        <v/>
      </c>
      <c r="G27" s="1" t="str">
        <f aca="false">IFERROR(2*'Fluent Raw Results'!$I$27/('Fluid Properties'!$G$27*$C$27^2),"")</f>
        <v/>
      </c>
      <c r="H27" s="1" t="str">
        <f aca="false">IFERROR('Fluent Raw Results'!$J$27/('Fluent Raw Results'!$H$27-$E$27),"")</f>
        <v/>
      </c>
      <c r="I27" s="1" t="str">
        <f aca="false">IFERROR($H$27*Constants!$C$4/'Fluid Properties'!$I$27,"")</f>
        <v/>
      </c>
      <c r="J27" s="1" t="str">
        <f aca="false">IFERROR('Fluent Raw Results'!$B$27*'Fluid Properties'!$H$27*('Fluent Raw Results'!$G$27-'Fluent Raw Results'!$F$27),"")</f>
        <v/>
      </c>
      <c r="K27" s="1" t="str">
        <f aca="false">IFERROR(('Fluent Raw Results'!$B$27/'Fluid Properties'!$G$27)*$F$27,"")</f>
        <v/>
      </c>
      <c r="L27" s="1" t="str">
        <f aca="false">IFERROR(($J$27-$K$27/Constants!$C$13)/(Constants!$C$9*Constants!$C$10),"")</f>
        <v/>
      </c>
      <c r="M27" s="1" t="str">
        <f aca="false">IFERROR('Fluent Raw Results'!$B$27*'Fluid Properties'!$H$27*(('Fluent Raw Results'!$G$27-'Fluent Raw Results'!$F$27)-Constants!$C$11*LN('Fluent Raw Results'!$G$27/'Fluent Raw Results'!$F$27))/(Constants!$C$9*Constants!$C$10*(1+(1/3)*(Constants!$C$11/Constants!$C$12)^4-(4/3)*(Constants!$C$11/Constants!$C$12))),"")</f>
        <v/>
      </c>
      <c r="N27" s="1" t="str">
        <f aca="false">IFERROR(($I$27/$I$2)/($G$27/$G$2)^(1/3),"")</f>
        <v/>
      </c>
      <c r="O27" s="1" t="str">
        <f aca="false">IFERROR('Fluent Raw Results'!$O$27/'Fluent Raw Results'!$N$27,"")</f>
        <v/>
      </c>
      <c r="P27" s="1" t="str">
        <f aca="false">IFERROR('Fluent Raw Results'!$N$27/'Fluent Raw Results'!$N$2,"")</f>
        <v/>
      </c>
      <c r="Q27" s="1" t="str">
        <f aca="false">IFERROR(ABS('Fluent Raw Results'!$B$27-'Fluent Raw Results'!$C$27)/'Fluent Raw Results'!$B$27*100,"")</f>
        <v/>
      </c>
    </row>
    <row r="28" customFormat="false" ht="15" hidden="false" customHeight="true" outlineLevel="0" collapsed="false">
      <c r="A28" s="1" t="n">
        <v>26</v>
      </c>
      <c r="B28" s="1" t="n">
        <f aca="false">(PI()*Constants!$C$4^2/4-('Run Matrix (Inputs)'!$J$28/1000)^2)+('Run Matrix (Inputs)'!$L$28/1000)^2</f>
        <v>0.00306055439975928</v>
      </c>
      <c r="C28" s="1" t="str">
        <f aca="false">IFERROR('Fluent Raw Results'!$B$28/('Fluid Properties'!$G$28*$B$28),"")</f>
        <v/>
      </c>
      <c r="D28" s="1" t="str">
        <f aca="false">IFERROR('Fluid Properties'!$G$28*$C$28*Constants!$C$4/'Fluid Properties'!$J$28,"")</f>
        <v/>
      </c>
      <c r="E28" s="1" t="str">
        <f aca="false">IF(OR('Fluent Raw Results'!$F$28="",'Fluent Raw Results'!$G$28=""),"",('Fluent Raw Results'!$F$28+'Fluent Raw Results'!$G$28)/2)</f>
        <v/>
      </c>
      <c r="F28" s="1" t="str">
        <f aca="false">IF(OR('Fluent Raw Results'!$D$28="",'Fluent Raw Results'!$E$28=""),"",'Fluent Raw Results'!$D$28-'Fluent Raw Results'!$E$28)</f>
        <v/>
      </c>
      <c r="G28" s="1" t="str">
        <f aca="false">IFERROR(2*'Fluent Raw Results'!$I$28/('Fluid Properties'!$G$28*$C$28^2),"")</f>
        <v/>
      </c>
      <c r="H28" s="1" t="str">
        <f aca="false">IFERROR('Fluent Raw Results'!$J$28/('Fluent Raw Results'!$H$28-$E$28),"")</f>
        <v/>
      </c>
      <c r="I28" s="1" t="str">
        <f aca="false">IFERROR($H$28*Constants!$C$4/'Fluid Properties'!$I$28,"")</f>
        <v/>
      </c>
      <c r="J28" s="1" t="str">
        <f aca="false">IFERROR('Fluent Raw Results'!$B$28*'Fluid Properties'!$H$28*('Fluent Raw Results'!$G$28-'Fluent Raw Results'!$F$28),"")</f>
        <v/>
      </c>
      <c r="K28" s="1" t="str">
        <f aca="false">IFERROR(('Fluent Raw Results'!$B$28/'Fluid Properties'!$G$28)*$F$28,"")</f>
        <v/>
      </c>
      <c r="L28" s="1" t="str">
        <f aca="false">IFERROR(($J$28-$K$28/Constants!$C$13)/(Constants!$C$9*Constants!$C$10),"")</f>
        <v/>
      </c>
      <c r="M28" s="1" t="str">
        <f aca="false">IFERROR('Fluent Raw Results'!$B$28*'Fluid Properties'!$H$28*(('Fluent Raw Results'!$G$28-'Fluent Raw Results'!$F$28)-Constants!$C$11*LN('Fluent Raw Results'!$G$28/'Fluent Raw Results'!$F$28))/(Constants!$C$9*Constants!$C$10*(1+(1/3)*(Constants!$C$11/Constants!$C$12)^4-(4/3)*(Constants!$C$11/Constants!$C$12))),"")</f>
        <v/>
      </c>
      <c r="N28" s="1" t="str">
        <f aca="false">IFERROR(($I$28/$I$2)/($G$28/$G$2)^(1/3),"")</f>
        <v/>
      </c>
      <c r="O28" s="1" t="str">
        <f aca="false">IFERROR('Fluent Raw Results'!$O$28/'Fluent Raw Results'!$N$28,"")</f>
        <v/>
      </c>
      <c r="P28" s="1" t="str">
        <f aca="false">IFERROR('Fluent Raw Results'!$N$28/'Fluent Raw Results'!$N$2,"")</f>
        <v/>
      </c>
      <c r="Q28" s="1" t="str">
        <f aca="false">IFERROR(ABS('Fluent Raw Results'!$B$28-'Fluent Raw Results'!$C$28)/'Fluent Raw Results'!$B$28*100,"")</f>
        <v/>
      </c>
    </row>
    <row r="29" customFormat="false" ht="15" hidden="false" customHeight="true" outlineLevel="0" collapsed="false">
      <c r="A29" s="1" t="n">
        <v>27</v>
      </c>
      <c r="B29" s="1" t="n">
        <f aca="false">(PI()*Constants!$C$4^2/4-('Run Matrix (Inputs)'!$J$29/1000)^2)+('Run Matrix (Inputs)'!$L$29/1000)^2</f>
        <v>0.00290375439975929</v>
      </c>
      <c r="C29" s="1" t="n">
        <f aca="false">IFERROR('Fluent Raw Results'!$B$29/('Fluid Properties'!$G$29*$B$29),"")</f>
        <v>0</v>
      </c>
      <c r="D29" s="1" t="n">
        <f aca="false">IFERROR('Fluid Properties'!$G$29*$C$29*Constants!$C$4/'Fluid Properties'!$J$29,"")</f>
        <v>0</v>
      </c>
      <c r="E29" s="1" t="str">
        <f aca="false">IF(OR('Fluent Raw Results'!$F$29="",'Fluent Raw Results'!$G$29=""),"",('Fluent Raw Results'!$F$29+'Fluent Raw Results'!$G$29)/2)</f>
        <v/>
      </c>
      <c r="F29" s="1" t="str">
        <f aca="false">IF(OR('Fluent Raw Results'!$D$29="",'Fluent Raw Results'!$E$29=""),"",'Fluent Raw Results'!$D$29-'Fluent Raw Results'!$E$29)</f>
        <v/>
      </c>
      <c r="G29" s="1" t="str">
        <f aca="false">IFERROR(2*'Fluent Raw Results'!$I$29/('Fluid Properties'!$G$29*$C$29^2),"")</f>
        <v/>
      </c>
      <c r="H29" s="1" t="str">
        <f aca="false">IFERROR('Fluent Raw Results'!$J$29/('Fluent Raw Results'!$H$29-$E$29),"")</f>
        <v/>
      </c>
      <c r="I29" s="1" t="str">
        <f aca="false">IFERROR($H$29*Constants!$C$4/'Fluid Properties'!$I$29,"")</f>
        <v/>
      </c>
      <c r="J29" s="1" t="n">
        <f aca="false">IFERROR('Fluent Raw Results'!$B$29*'Fluid Properties'!$H$29*('Fluent Raw Results'!$G$29-'Fluent Raw Results'!$F$29),"")</f>
        <v>0</v>
      </c>
      <c r="K29" s="1" t="str">
        <f aca="false">IFERROR(('Fluent Raw Results'!$B$29/'Fluid Properties'!$G$29)*$F$29,"")</f>
        <v/>
      </c>
      <c r="L29" s="1" t="str">
        <f aca="false">IFERROR(($J$29-$K$29/Constants!$C$13)/(Constants!$C$9*Constants!$C$10),"")</f>
        <v/>
      </c>
      <c r="M29" s="1" t="str">
        <f aca="false">IFERROR('Fluent Raw Results'!$B$29*'Fluid Properties'!$H$29*(('Fluent Raw Results'!$G$29-'Fluent Raw Results'!$F$29)-Constants!$C$11*LN('Fluent Raw Results'!$G$29/'Fluent Raw Results'!$F$29))/(Constants!$C$9*Constants!$C$10*(1+(1/3)*(Constants!$C$11/Constants!$C$12)^4-(4/3)*(Constants!$C$11/Constants!$C$12))),"")</f>
        <v/>
      </c>
      <c r="N29" s="1" t="str">
        <f aca="false">IFERROR(($I$29/$I$2)/($G$29/$G$2)^(1/3),"")</f>
        <v/>
      </c>
      <c r="O29" s="1" t="str">
        <f aca="false">IFERROR('Fluent Raw Results'!$O$29/'Fluent Raw Results'!$N$29,"")</f>
        <v/>
      </c>
      <c r="P29" s="1" t="str">
        <f aca="false">IFERROR('Fluent Raw Results'!$N$29/'Fluent Raw Results'!$N$2,"")</f>
        <v/>
      </c>
      <c r="Q29" s="1" t="str">
        <f aca="false">IFERROR(ABS('Fluent Raw Results'!$B$29-'Fluent Raw Results'!$C$29)/'Fluent Raw Results'!$B$29*100,"")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2026-08-18T09:57:58Z</dcterms:created>
  <dc:creator>openpyxl</dc:creator>
  <dc:description/>
  <dc:language>en-US</dc:language>
  <cp:lastModifiedBy/>
  <dcterms:modified xsi:type="dcterms:W3CDTF">2026-08-21T12:21:07Z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