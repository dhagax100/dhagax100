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FIRST" sheetId="1" state="visible" r:id="rId3"/>
    <sheet name="1. Geometry &amp; Factors" sheetId="2" state="visible" r:id="rId4"/>
    <sheet name="2. Mesh Setup &amp; Quality" sheetId="3" state="visible" r:id="rId5"/>
    <sheet name="3. Solver &amp; Methods" sheetId="4" state="visible" r:id="rId6"/>
    <sheet name="4. Material Properties" sheetId="5" state="visible" r:id="rId7"/>
    <sheet name="5. Boundary Conditions" sheetId="6" state="visible" r:id="rId8"/>
    <sheet name="6. Fluent Raw Outputs" sheetId="7" state="visible" r:id="rId9"/>
    <sheet name="7. Results vs Paper" sheetId="8" state="visible" r:id="rId10"/>
    <sheet name="8. Paper Reference Number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<sst xmlns="http://schemas.openxmlformats.org/spreadsheetml/2006/main" count="435" uniqueCount="317">
  <si>
    <t xml:space="preserve">PTSC + Hollow Twisted Square Promoter - Progress Report</t>
  </si>
  <si>
    <t xml:space="preserve">Numerical study of a PTSC receiver tube with a central hollow twisted square promoter (HTSP) and hybrid nanofluids.</t>
  </si>
  <si>
    <t xml:space="preserve">Prepared for advisor review.</t>
  </si>
  <si>
    <t xml:space="preserve">WHAT THIS FILE IS</t>
  </si>
  <si>
    <t xml:space="preserve">Every simulation run attempted so far (Baseline + Runs 1, 6, 8, 12, 14, 16), from geometry and mesh inputs through to final performance numbers, next to the equivalent numbers your published paper reports.</t>
  </si>
  <si>
    <t xml:space="preserve">WHY ONLY 7 OF 27 RUNS</t>
  </si>
  <si>
    <t xml:space="preserve">These are the only runs actually executed in Fluent to date. The other 20 are designed (see the Taguchi L27 matrix) but not yet simulated - 18 of them are blocked until Al2O3-MWCNT and Ag-MgO nanoparticle properties are sourced from literature (open item, not yet done).</t>
  </si>
  <si>
    <t xml:space="preserve">STATUS OF EACH RUN SHOWN HERE</t>
  </si>
  <si>
    <t xml:space="preserve">DONE</t>
  </si>
  <si>
    <t xml:space="preserve">Completed, converged, mass balance closes, numbers trusted.</t>
  </si>
  <si>
    <t xml:space="preserve">INVALID - diverged</t>
  </si>
  <si>
    <t xml:space="preserve">Mesh quality too low in the tightest annulus gap (dpo=35mm runs). Solution blew up to nonsense values. Needs a finer local mesh before re-running.</t>
  </si>
  <si>
    <t xml:space="preserve">PENDING</t>
  </si>
  <si>
    <t xml:space="preserve">Attempted, but the Report Definition surfaces were scoped wrong (missed the annulus flow) - caught before bad numbers were recorded. Needs re-run.</t>
  </si>
  <si>
    <t xml:space="preserve">HEADLINE COMPARISON - your paper vs. this study so far</t>
  </si>
  <si>
    <t xml:space="preserve">Metric</t>
  </si>
  <si>
    <t xml:space="preserve">Your paper (Mohammed, Vuthaluru &amp; Liu, 2022, Renewable Energy 182)</t>
  </si>
  <si>
    <t xml:space="preserve">This study so far</t>
  </si>
  <si>
    <t xml:space="preserve">Best Nu improvement over plain fluid</t>
  </si>
  <si>
    <t xml:space="preserve">+150.4% (Fe2O3-GO, 2.0%, wavy promoter)</t>
  </si>
  <si>
    <t xml:space="preserve">+57.6% (Run 1, Fe2O3-GO 0.5%, HTSP) - best valid run so far</t>
  </si>
  <si>
    <t xml:space="preserve">PEC range (bricks-shaped particles)</t>
  </si>
  <si>
    <t xml:space="preserve">1.24 - 2.46</t>
  </si>
  <si>
    <t xml:space="preserve">0.95 - 1.43 (Runs 6, 12, 1) - below paper's range so far</t>
  </si>
  <si>
    <t xml:space="preserve">Thermal efficiency change</t>
  </si>
  <si>
    <t xml:space="preserve">+18.51% (increase, best case)</t>
  </si>
  <si>
    <t xml:space="preserve">39.3% - 40.4% (absolute values, valid runs)</t>
  </si>
  <si>
    <t xml:space="preserve">Exergetic efficiency change</t>
  </si>
  <si>
    <t xml:space="preserve">+16.21% (increase, best case)</t>
  </si>
  <si>
    <t xml:space="preserve">17.1% - 17.6% (absolute values, valid runs)</t>
  </si>
  <si>
    <t xml:space="preserve">Validation vs. Gnielinski/Petukhov</t>
  </si>
  <si>
    <t xml:space="preserve">Max deviation 4.1% (Nu), 5.3% (f)</t>
  </si>
  <si>
    <t xml:space="preserve">Not yet run for this geometry (open item)</t>
  </si>
  <si>
    <t xml:space="preserve">IMPORTANT CAVEAT ON THE COMPARISON ABOVE</t>
  </si>
  <si>
    <t xml:space="preserve">Your paper's Nu/eta/PEC gains are % improvements over ITS OWN plain-Syltherm baseline, with a different promoter (wavy tape) and different geometry ratios. Ours are the same style of metric but for a physically different promoter (hollow twisted square). A lower PEC does not mean an error - it may mean this promoter shape genuinely gives less benefit than the wavy one, which is itself a valid thesis finding once more runs confirm the trend.</t>
  </si>
  <si>
    <t xml:space="preserve">SHEET GUIDE</t>
  </si>
  <si>
    <t xml:space="preserve">1. Geometry &amp; Factors - the dimensions that define each run</t>
  </si>
  <si>
    <t xml:space="preserve">2. Mesh Setup &amp; Quality - mesh inputs (element size, first layer thickness...) + mesh outputs (elements, quality) + why these choices</t>
  </si>
  <si>
    <t xml:space="preserve">3. Solver &amp; Methods - every Fluent solver setting and the reason for choosing it</t>
  </si>
  <si>
    <t xml:space="preserve">4. Material Properties - base fluid + hybrid nanofluid property calculations, formulas and sources</t>
  </si>
  <si>
    <t xml:space="preserve">5. Boundary Conditions - Re, Tin, inlet velocity per run, and the non-uniform solar heat flux profile</t>
  </si>
  <si>
    <t xml:space="preserve">6. Fluent Raw Outputs - the 12 numbers read directly off Fluent's Report Definitions for each run</t>
  </si>
  <si>
    <t xml:space="preserve">7. Results vs. Paper - Nu, f, efficiencies, PEC computed from the raw outputs, next to your paper's numbers</t>
  </si>
  <si>
    <t xml:space="preserve">8. Paper Reference Numbers - exact headline results from your 2022 paper, with page citation</t>
  </si>
  <si>
    <t xml:space="preserve">Geometry &amp; the 5 Taguchi Factors</t>
  </si>
  <si>
    <t xml:space="preserve">Fixed for every run: dti=66mm, dto=70mm, wall=2mm, tube length=2000mm, promoter material=stainless steel (k=25 W/m.K, per paper).</t>
  </si>
  <si>
    <t xml:space="preserve">Run</t>
  </si>
  <si>
    <t xml:space="preserve">Status</t>
  </si>
  <si>
    <t xml:space="preserve">Pt (mm)</t>
  </si>
  <si>
    <t xml:space="preserve">dpo (mm)</t>
  </si>
  <si>
    <t xml:space="preserve">tp (mm)</t>
  </si>
  <si>
    <t xml:space="preserve">dpi (mm)</t>
  </si>
  <si>
    <t xml:space="preserve">Pt/dti</t>
  </si>
  <si>
    <t xml:space="preserve">dpo/dti</t>
  </si>
  <si>
    <t xml:space="preserve">tp/dpo</t>
  </si>
  <si>
    <t xml:space="preserve">Nanofluid</t>
  </si>
  <si>
    <t xml:space="preserve">phi (%)</t>
  </si>
  <si>
    <t xml:space="preserve">Baseline</t>
  </si>
  <si>
    <t xml:space="preserve">Syltherm 800 (smooth tube, no nanoparticles)</t>
  </si>
  <si>
    <t xml:space="preserve">Run 1</t>
  </si>
  <si>
    <t xml:space="preserve">Fe2O3-GO</t>
  </si>
  <si>
    <t xml:space="preserve">Run 6</t>
  </si>
  <si>
    <t xml:space="preserve">Run 8</t>
  </si>
  <si>
    <t xml:space="preserve">Run 12</t>
  </si>
  <si>
    <t xml:space="preserve">Run 14</t>
  </si>
  <si>
    <t xml:space="preserve">PENDING - BC scoping bug, needs re-run</t>
  </si>
  <si>
    <t xml:space="preserve">Run 16</t>
  </si>
  <si>
    <t xml:space="preserve">Mesh: Inputs, Outputs, and Why</t>
  </si>
  <si>
    <t xml:space="preserve">WHY THESE MESH SETTINGS (justification)</t>
  </si>
  <si>
    <t xml:space="preserve">Element size 2.96mm for all promoter runs: this is 'Mesh 3' from a 4-level mesh-independence study on the</t>
  </si>
  <si>
    <t xml:space="preserve">enhanced (promoter) geometry (5.0 / 3.85 / 2.96 / 2.28mm). Nu and pressure-drop changed by only 1.19% and 1.08%</t>
  </si>
  <si>
    <t xml:space="preserve">going to the next finer mesh (2.28mm) - both under the 2% pass bar used in your own paper's Table 4 method.</t>
  </si>
  <si>
    <t xml:space="preserve">Mesh 3 was adopted (not the finest) because refining further changes the answer by &lt;2% but roughly doubles compute cost.</t>
  </si>
  <si>
    <t xml:space="preserve">Baseline (smooth tube) used its own separate 4-level study on the same logic and adopted 2.28mm (finer, because the</t>
  </si>
  <si>
    <t xml:space="preserve">smooth tube has no promoter geometry forcing a coarser practical limit). First layer thickness (0.006959mm), growth</t>
  </si>
  <si>
    <t xml:space="preserve">rate (1.2) and 15 inflation layers were sized to hit y+ ~ 1 at the highest Reynolds number in our range (100,000),</t>
  </si>
  <si>
    <t xml:space="preserve">per standard wall-resolved RANS practice for Enhanced Wall Treatment.</t>
  </si>
  <si>
    <t xml:space="preserve">MESH INPUTS (what was typed into ANSYS Meshing)</t>
  </si>
  <si>
    <t xml:space="preserve">Global element size (mm)</t>
  </si>
  <si>
    <t xml:space="preserve">Method</t>
  </si>
  <si>
    <t xml:space="preserve">First layer thickness (mm)</t>
  </si>
  <si>
    <t xml:space="preserve">Growth rate</t>
  </si>
  <si>
    <t xml:space="preserve">Max inflation layers</t>
  </si>
  <si>
    <t xml:space="preserve">Curvature capture angle</t>
  </si>
  <si>
    <t xml:space="preserve">Patch Conforming Tet</t>
  </si>
  <si>
    <t xml:space="preserve">18 deg</t>
  </si>
  <si>
    <t xml:space="preserve">Patch Conforming Tet (not re-logged - see flag)</t>
  </si>
  <si>
    <t xml:space="preserve">MESH OUTPUTS (what ANSYS reported back) - quality bar target: Min Orthogonal Quality &gt; 0.01, Max Skewness &lt; 0.95</t>
  </si>
  <si>
    <t xml:space="preserve">Elements</t>
  </si>
  <si>
    <t xml:space="preserve">Nodes</t>
  </si>
  <si>
    <t xml:space="preserve">Max Skewness</t>
  </si>
  <si>
    <t xml:space="preserve">Min Orthogonal Quality</t>
  </si>
  <si>
    <t xml:space="preserve">Quality vs. 0.01 bar</t>
  </si>
  <si>
    <t xml:space="preserve">Flag / Note</t>
  </si>
  <si>
    <t xml:space="preserve">20.00x bar</t>
  </si>
  <si>
    <t xml:space="preserve">Baseline_Smooth_Mesh_Independence_Workbook.xlsx, Mesh 4 - clean, well clear of bar.</t>
  </si>
  <si>
    <t xml:space="preserve">1.53x bar</t>
  </si>
  <si>
    <t xml:space="preserve">Clean. Smallest promoter (dpo=15mm) did not hurt mesh quality.</t>
  </si>
  <si>
    <t xml:space="preserve">1.03x bar</t>
  </si>
  <si>
    <t xml:space="preserve">Right at the edge - clears the bar but only just. Watch item for larger promoters.</t>
  </si>
  <si>
    <t xml:space="preserve">0.97x bar</t>
  </si>
  <si>
    <t xml:space="preserve">INVALID: below the 0.01 bar. Max Aspect Ratio 959.99 (near ANSYS's 1000 failure limit). Solution diverged.</t>
  </si>
  <si>
    <t xml:space="preserve">1.62x bar</t>
  </si>
  <si>
    <t xml:space="preserve">Clean, well clear of bar.</t>
  </si>
  <si>
    <t xml:space="preserve">-</t>
  </si>
  <si>
    <t xml:space="preserve">Not logged - the run was attempted but a Report Definition scoping error was caught before results were saved. Mesh needs re-confirming.</t>
  </si>
  <si>
    <t xml:space="preserve">0.93x bar</t>
  </si>
  <si>
    <t xml:space="preserve">INVALID: same failure pattern as Run 8. Both share dpo=35mm - confirmed root cause (tightest annulus gap, ~15.5mm), not a meshing-method issue.</t>
  </si>
  <si>
    <t xml:space="preserve">Fluent Solver Setup &amp; Why Each Choice Was Made</t>
  </si>
  <si>
    <t xml:space="preserve">Same for every run (Baseline and all promoter runs) - kept identical on purpose so results are comparable.</t>
  </si>
  <si>
    <t xml:space="preserve">Setting</t>
  </si>
  <si>
    <t xml:space="preserve">Choice</t>
  </si>
  <si>
    <t xml:space="preserve">Reason</t>
  </si>
  <si>
    <t xml:space="preserve">Solver type</t>
  </si>
  <si>
    <t xml:space="preserve">Pressure-based, steady-state</t>
  </si>
  <si>
    <t xml:space="preserve">Standard for low-speed, incompressible liquid flow (oil-based nanofluid, no shocks/compressibility).</t>
  </si>
  <si>
    <t xml:space="preserve">Pressure-velocity coupling</t>
  </si>
  <si>
    <t xml:space="preserve">SIMPLE</t>
  </si>
  <si>
    <t xml:space="preserve">Robust, well-proven default for this class of problem; matches the reference paper's own method.</t>
  </si>
  <si>
    <t xml:space="preserve">Pressure discretization</t>
  </si>
  <si>
    <t xml:space="preserve">PRESTO!</t>
  </si>
  <si>
    <t xml:space="preserve">Recommended by Fluent for swirling/rotating flow - the twisted promoter creates strong swirl, exactly PRESTO!'s use case.</t>
  </si>
  <si>
    <t xml:space="preserve">Momentum, Energy, Turbulence discretization</t>
  </si>
  <si>
    <t xml:space="preserve">Second-Order Upwind</t>
  </si>
  <si>
    <t xml:space="preserve">First-order is more diffusive (smears gradients) - second-order needed for accurate heat-transfer and swirl predictions.</t>
  </si>
  <si>
    <t xml:space="preserve">Turbulence model</t>
  </si>
  <si>
    <t xml:space="preserve">Realizable k-epsilon</t>
  </si>
  <si>
    <t xml:space="preserve">Matches the reference paper's stated method (Section 3.3.4) exactly - needed so our results are comparable to the paper's baseline.</t>
  </si>
  <si>
    <t xml:space="preserve">Wall treatment</t>
  </si>
  <si>
    <t xml:space="preserve">Enhanced Wall Treatment</t>
  </si>
  <si>
    <t xml:space="preserve">Resolves the viscous sublayer without requiring a very fine near-wall mesh at every Re; standard pairing with realizable k-epsilon.</t>
  </si>
  <si>
    <t xml:space="preserve">Radiation model</t>
  </si>
  <si>
    <t xml:space="preserve">NOT enabled in current setup - FLAG</t>
  </si>
  <si>
    <t xml:space="preserve">Original plan (and CLAUDE.md) listed Discrete Ordinates for the glass-envelope/vacuum-gap radiation problem. Since that gap was excluded from the model (heat enters as a direct wall flux BC, no participating media to solve for), DO radiation may not be needed. Confirm with advisor whether this is correct or whether radiation should be modeled another way.</t>
  </si>
  <si>
    <t xml:space="preserve">Convergence - continuity residual</t>
  </si>
  <si>
    <t xml:space="preserve">1e-6</t>
  </si>
  <si>
    <t xml:space="preserve">Looser than others - continuity is naturally slower to fully flatten in swirling flow; this is a standard practical threshold.</t>
  </si>
  <si>
    <t xml:space="preserve">Convergence - all other residuals</t>
  </si>
  <si>
    <t xml:space="preserve">1e-8</t>
  </si>
  <si>
    <t xml:space="preserve">Tighter threshold for momentum/energy/turbulence, since these directly drive the heat-transfer numbers being reported.</t>
  </si>
  <si>
    <t xml:space="preserve">Extra convergence check</t>
  </si>
  <si>
    <t xml:space="preserve">Outlet T, wall T, dP, Nu, eta_th monitored to a flat line - not residuals alone</t>
  </si>
  <si>
    <t xml:space="preserve">Residuals reaching a threshold does not guarantee the physical quantities have stopped changing (Fluent Report Definitions lesson) - both are checked before calling a run converged.</t>
  </si>
  <si>
    <t xml:space="preserve">Pseudo Transient / stability aid</t>
  </si>
  <si>
    <t xml:space="preserve">Local Time Step + Max/Min static temp limits (700K / 250K)</t>
  </si>
  <si>
    <t xml:space="preserve">The real MCRT heat flux is spatially concentrated and stiff - Fluent's own default temp limit (5000K) is too loose and allowed the solution to run away before this fix.</t>
  </si>
  <si>
    <t xml:space="preserve">Material Properties: Base Fluid &amp; Hybrid Nanofluid</t>
  </si>
  <si>
    <t xml:space="preserve">Base fluid: Syltherm 800 (reference values at Tin=500K, from paper's Table 6)</t>
  </si>
  <si>
    <t xml:space="preserve">rho_bf (kg/m3)</t>
  </si>
  <si>
    <t xml:space="preserve">Cp_bf (J/kg.K)</t>
  </si>
  <si>
    <t xml:space="preserve">k_bf (W/m.K)</t>
  </si>
  <si>
    <t xml:space="preserve">mu_bf (Pa.s)</t>
  </si>
  <si>
    <t xml:space="preserve">Source</t>
  </si>
  <si>
    <t xml:space="preserve">Mohammed et al. 2022, Table 6</t>
  </si>
  <si>
    <t xml:space="preserve">Nanoparticle properties used (Fe2O3-GO is the only nanofluid run so far)</t>
  </si>
  <si>
    <t xml:space="preserve">Particle</t>
  </si>
  <si>
    <t xml:space="preserve">rho_p (kg/m3)</t>
  </si>
  <si>
    <t xml:space="preserve">Cp_p (J/kg.K)</t>
  </si>
  <si>
    <t xml:space="preserve">Fe2O3</t>
  </si>
  <si>
    <t xml:space="preserve">GO (graphene oxide)</t>
  </si>
  <si>
    <t xml:space="preserve">Al2O3</t>
  </si>
  <si>
    <t xml:space="preserve">NOT YET SOURCED</t>
  </si>
  <si>
    <t xml:space="preserve">Open item - blocks 18/27 runs</t>
  </si>
  <si>
    <t xml:space="preserve">MWCNT</t>
  </si>
  <si>
    <t xml:space="preserve">Ag</t>
  </si>
  <si>
    <t xml:space="preserve">MgO</t>
  </si>
  <si>
    <t xml:space="preserve">How the hybrid nanofluid constants are computed (evaluated once per run, at Tin, entered as constants in Fluent - per paper Eq. 3.25-3.30)</t>
  </si>
  <si>
    <t xml:space="preserve">phi_p1 = phi_p2 = phi_total / 2   (even split between the 2 particle types - assumption, not stated in the paper, flagged in solver_and_formulas.md)</t>
  </si>
  <si>
    <t xml:space="preserve">rho_hnf   = (1 - phi_p)*rho_bf + phi_p1*rho_p1 + phi_p2*rho_p2</t>
  </si>
  <si>
    <t xml:space="preserve">Cp_hnf    = [(1 - phi_p)*rho_bf*Cp_bf + phi_p1*rho_p1*Cp_p1 + phi_p2*rho_p2*Cp_p2] / rho_hnf</t>
  </si>
  <si>
    <t xml:space="preserve">k_hnf     = k_bf * (1 + Ck*phi)                      where Ck = 3.37 for brick-shaped particles (paper Table 7)</t>
  </si>
  <si>
    <t xml:space="preserve">mu_hnf    = mu_bf * [(1+a*phi_p1+b*phi_p1^2) + (1+a*phi_p2+b*phi_p2^2)]   where a=1.9, b=471.4 for bricks (paper Table 8)</t>
  </si>
  <si>
    <t xml:space="preserve">Computed hybrid nanofluid properties, per run</t>
  </si>
  <si>
    <t xml:space="preserve">rho_hnf (kg/m3)</t>
  </si>
  <si>
    <t xml:space="preserve">Cp_hnf (J/kg.K)</t>
  </si>
  <si>
    <t xml:space="preserve">k_hnf (W/m.K)</t>
  </si>
  <si>
    <t xml:space="preserve">mu_hnf (Pa.s)</t>
  </si>
  <si>
    <t xml:space="preserve">Boundary Conditions: Re, Tin, Inlet Velocity, Heat Flux</t>
  </si>
  <si>
    <t xml:space="preserve">Inlet velocity is NOT typed in directly - it is calculated from the fixed target Re so every run truly runs at Re=10,000, whatever the local nanofluid properties are.</t>
  </si>
  <si>
    <t xml:space="preserve">u_m = Re * mu_hnf / (rho_hnf * d_ri)   -- always uses the FIXED tube ID (d_ri=66mm), never the promoter's own diameter, so Re=10,000 means the same thing across all 27 geometries.</t>
  </si>
  <si>
    <t xml:space="preserve">Re (target)</t>
  </si>
  <si>
    <t xml:space="preserve">Tin (K)</t>
  </si>
  <si>
    <t xml:space="preserve">u_m entered/calc (m/s)</t>
  </si>
  <si>
    <t xml:space="preserve">Re_check (from actual sim)</t>
  </si>
  <si>
    <t xml:space="preserve">Note</t>
  </si>
  <si>
    <t xml:space="preserve">Real production run, real MCRT flux, steel tube, adopted Mesh (2.28mm).</t>
  </si>
  <si>
    <t xml:space="preserve">Values before divergence set in - these are the intended inputs, not the garbage outputs.</t>
  </si>
  <si>
    <t xml:space="preserve">N/A - not run yet</t>
  </si>
  <si>
    <t xml:space="preserve">Calculated from known fluid properties, not yet entered/confirmed in Fluent (run pending re-scoping fix).</t>
  </si>
  <si>
    <t xml:space="preserve">Non-uniform solar heat flux (applied to the absorber tube's OUTER wall, all runs)</t>
  </si>
  <si>
    <t xml:space="preserve">Comes from Monte Carlo Ray Tracing (MCRT) results in your paper (Table 3, Section 2.3), not a uniform value. Formula: q(theta) = a0 + a1*cos(w*theta) + b1*sin(w*theta) + a2*cos(2*w*theta) + b2*sin(2*w*theta)</t>
  </si>
  <si>
    <t xml:space="preserve">theta range</t>
  </si>
  <si>
    <t xml:space="preserve">w</t>
  </si>
  <si>
    <t xml:space="preserve">a0</t>
  </si>
  <si>
    <t xml:space="preserve">a1</t>
  </si>
  <si>
    <t xml:space="preserve">b1</t>
  </si>
  <si>
    <t xml:space="preserve">a2</t>
  </si>
  <si>
    <t xml:space="preserve">b2</t>
  </si>
  <si>
    <t xml:space="preserve">0 - 41.6 deg</t>
  </si>
  <si>
    <t xml:space="preserve">41.6 - 88.6 deg</t>
  </si>
  <si>
    <t xml:space="preserve">5.88e-2</t>
  </si>
  <si>
    <t xml:space="preserve">3.512e4</t>
  </si>
  <si>
    <t xml:space="preserve">2.547e4</t>
  </si>
  <si>
    <t xml:space="preserve">-2.425e4</t>
  </si>
  <si>
    <t xml:space="preserve">-1.464e3</t>
  </si>
  <si>
    <t xml:space="preserve">-6.71e3</t>
  </si>
  <si>
    <t xml:space="preserve">88.6 - 180 deg</t>
  </si>
  <si>
    <t xml:space="preserve">3.12e-2</t>
  </si>
  <si>
    <t xml:space="preserve">5.616e4</t>
  </si>
  <si>
    <t xml:space="preserve">-1.129e4</t>
  </si>
  <si>
    <t xml:space="preserve">1.051e4</t>
  </si>
  <si>
    <t xml:space="preserve">-4.039e3</t>
  </si>
  <si>
    <t xml:space="preserve">-1.582e3</t>
  </si>
  <si>
    <t xml:space="preserve">How it's applied and a flag for you</t>
  </si>
  <si>
    <t xml:space="preserve">Low flat segment (0-41.6deg) = shaded back of tube. The two swinging segments = sun-facing front half. Applied as a User-Defined Function (UDF) on the outer wall boundary. The UDF C-code file itself lives in your Fluent project folder on the lab computer, not in this git repo - if your advisor wants to see the raw code, pull it from there.</t>
  </si>
  <si>
    <t xml:space="preserve">FLAG: direction of theta=0 (which half is shaded vs sun-facing) was not explicitly stated in the paper's text or figure. Assumed shaded=0deg, sun-facing=180deg (standard PTC convention) - worth a 30-second confirmation from your advisor.</t>
  </si>
  <si>
    <t xml:space="preserve">The 12 Numbers Read Off Fluent's Report Definitions</t>
  </si>
  <si>
    <t xml:space="preserve">Diverged runs (8, 16) are shown with their real (nonsense) output values, highlighted red - not left blank, so the record is honest.</t>
  </si>
  <si>
    <t xml:space="preserve">mdot_in (kg/s)</t>
  </si>
  <si>
    <t xml:space="preserve">mdot_out (kg/s)</t>
  </si>
  <si>
    <t xml:space="preserve">p_in (Pa)</t>
  </si>
  <si>
    <t xml:space="preserve">p_out (Pa)</t>
  </si>
  <si>
    <t xml:space="preserve">T_in (K)</t>
  </si>
  <si>
    <t xml:space="preserve">T_out (K)</t>
  </si>
  <si>
    <t xml:space="preserve">T_wall (K)</t>
  </si>
  <si>
    <t xml:space="preserve">tau_w (Pa)</t>
  </si>
  <si>
    <t xml:space="preserve">q_flux_avg (W/m2)</t>
  </si>
  <si>
    <t xml:space="preserve">Q_dot_total (W)</t>
  </si>
  <si>
    <t xml:space="preserve">y+ avg</t>
  </si>
  <si>
    <t xml:space="preserve">y+ max</t>
  </si>
  <si>
    <t xml:space="preserve">not run yet</t>
  </si>
  <si>
    <t xml:space="preserve">Computed Performance Results vs. Your Paper</t>
  </si>
  <si>
    <t xml:space="preserve">Computed from the raw Fluent outputs using the formulas in Sheet 3/solver_and_formulas.md. Diverged runs (8, 16) shown as-is, flagged - do not use for conclusions.</t>
  </si>
  <si>
    <t xml:space="preserve">Nu</t>
  </si>
  <si>
    <t xml:space="preserve">Nu vs Baseline</t>
  </si>
  <si>
    <t xml:space="preserve">f</t>
  </si>
  <si>
    <t xml:space="preserve">dP (Pa)</t>
  </si>
  <si>
    <t xml:space="preserve">eta_th</t>
  </si>
  <si>
    <t xml:space="preserve">eta_ex</t>
  </si>
  <si>
    <t xml:space="preserve">PEC</t>
  </si>
  <si>
    <t xml:space="preserve">Mass balance err (%)</t>
  </si>
  <si>
    <t xml:space="preserve">Verdict</t>
  </si>
  <si>
    <t xml:space="preserve">39.89%</t>
  </si>
  <si>
    <t xml:space="preserve">17.62%</t>
  </si>
  <si>
    <t xml:space="preserve">Reference run</t>
  </si>
  <si>
    <t xml:space="preserve">+57.6%</t>
  </si>
  <si>
    <t xml:space="preserve">39.31%</t>
  </si>
  <si>
    <t xml:space="preserve">17.12%</t>
  </si>
  <si>
    <t xml:space="preserve">Valid - closest to paper's PEC range</t>
  </si>
  <si>
    <t xml:space="preserve">+27.9%</t>
  </si>
  <si>
    <t xml:space="preserve">40.42%</t>
  </si>
  <si>
    <t xml:space="preserve">17.63%</t>
  </si>
  <si>
    <t xml:space="preserve">Valid - PEC ~1.0, no net benefit yet</t>
  </si>
  <si>
    <t xml:space="preserve">187.85 (garbage)</t>
  </si>
  <si>
    <t xml:space="preserve">N/A</t>
  </si>
  <si>
    <t xml:space="preserve">5.78e29 (garbage)</t>
  </si>
  <si>
    <t xml:space="preserve">2.66e39 (garbage)</t>
  </si>
  <si>
    <t xml:space="preserve">14.38 (garbage)</t>
  </si>
  <si>
    <t xml:space="preserve">1.9e20</t>
  </si>
  <si>
    <t xml:space="preserve">INVALID - diverged, do not use</t>
  </si>
  <si>
    <t xml:space="preserve">+12.3%</t>
  </si>
  <si>
    <t xml:space="preserve">40.13%</t>
  </si>
  <si>
    <t xml:space="preserve">17.48%</t>
  </si>
  <si>
    <t xml:space="preserve">Valid - PEC &lt;1, below Run 6</t>
  </si>
  <si>
    <t xml:space="preserve">Not run yet - re-scoping pending</t>
  </si>
  <si>
    <t xml:space="preserve">5.06 (garbage)</t>
  </si>
  <si>
    <t xml:space="preserve">0.0895 (garbage)</t>
  </si>
  <si>
    <t xml:space="preserve">2.75e35 (garbage)</t>
  </si>
  <si>
    <t xml:space="preserve">-2.08 (garbage)</t>
  </si>
  <si>
    <t xml:space="preserve">2.0e17</t>
  </si>
  <si>
    <t xml:space="preserve">How this compares to your paper's headline numbers</t>
  </si>
  <si>
    <t xml:space="preserve">Your paper</t>
  </si>
  <si>
    <t xml:space="preserve">This study (valid runs only)</t>
  </si>
  <si>
    <t xml:space="preserve">Reading</t>
  </si>
  <si>
    <t xml:space="preserve">Best Nu improvement</t>
  </si>
  <si>
    <t xml:space="preserve">+150.4% (Fe2O3-GO 2%, wavy)</t>
  </si>
  <si>
    <t xml:space="preserve">+57.6% (Run 1, Fe2O3-GO 0.5%)</t>
  </si>
  <si>
    <t xml:space="preserve">Lower so far - fewer runs done, and only up to 0.5% concentration tested with a valid mesh.</t>
  </si>
  <si>
    <t xml:space="preserve">PEC range (bricks)</t>
  </si>
  <si>
    <t xml:space="preserve">0.95 - 1.43</t>
  </si>
  <si>
    <t xml:space="preserve">Run 1 (1.43) sits inside your range. Runs 6, 12 sit below 1 - promoter alone isn't paying for its own friction penalty yet at those geometries.</t>
  </si>
  <si>
    <t xml:space="preserve">Thermal efficiency</t>
  </si>
  <si>
    <t xml:space="preserve">+18.51% increase (best case)</t>
  </si>
  <si>
    <t xml:space="preserve">39.3% - 40.4% (absolute)</t>
  </si>
  <si>
    <t xml:space="preserve">Different metric shape (increase % vs absolute %) - not a direct apples-to-apples number, shown for context only.</t>
  </si>
  <si>
    <t xml:space="preserve">Exergetic efficiency</t>
  </si>
  <si>
    <t xml:space="preserve">+16.21% increase (best case)</t>
  </si>
  <si>
    <t xml:space="preserve">17.1% - 17.6% (absolute)</t>
  </si>
  <si>
    <t xml:space="preserve">Same caveat as above.</t>
  </si>
  <si>
    <t xml:space="preserve">Your Paper's Own Headline Numbers (verbatim, cited)</t>
  </si>
  <si>
    <t xml:space="preserve">Mohammed, H.A., Vuthaluru, H.B., Liu, S. (2022). Thermohydraulic and thermodynamics performance of hybrid nanofluids based PTSC equipped with wavy promoters. Renewable Energy 182, 401-426.</t>
  </si>
  <si>
    <t xml:space="preserve">Result</t>
  </si>
  <si>
    <t xml:space="preserve">Value</t>
  </si>
  <si>
    <t xml:space="preserve">Where (abstract quote)</t>
  </si>
  <si>
    <t xml:space="preserve">+150.4%</t>
  </si>
  <si>
    <t xml:space="preserve">"the average Nusselt number is improved by 150.4% when utilising Fe2O3-GO/Syltherm oil hybrid nanofluids at 2.0% concentration instead of Syltherm oil"</t>
  </si>
  <si>
    <t xml:space="preserve">Max outlet temp reduction</t>
  </si>
  <si>
    <t xml:space="preserve">7 - 31 C</t>
  </si>
  <si>
    <t xml:space="preserve">"the maximum reduction in the absorber's average outlet temperature is in the range of 7-31 C"</t>
  </si>
  <si>
    <t xml:space="preserve">"the overall...performance evaluation criterion (PEC) is found to be in the range of 1.24-2.46 using bricks-shaped nanoparticles"</t>
  </si>
  <si>
    <t xml:space="preserve">Best PEC value</t>
  </si>
  <si>
    <t xml:space="preserve">~2.46 (bricks, best case)</t>
  </si>
  <si>
    <t xml:space="preserve">"the best PEC belongs to the bricks-shaped nanoparticles as expected and its value is around 2.46"</t>
  </si>
  <si>
    <t xml:space="preserve">Thermal efficiency increase</t>
  </si>
  <si>
    <t xml:space="preserve">+18.51%</t>
  </si>
  <si>
    <t xml:space="preserve">"the thermal efficiency increased by 18.51%"</t>
  </si>
  <si>
    <t xml:space="preserve">Exergetic efficiency increase</t>
  </si>
  <si>
    <t xml:space="preserve">+16.21%</t>
  </si>
  <si>
    <t xml:space="preserve">"the exergetic efficiency increased by 16.21%"</t>
  </si>
  <si>
    <t xml:space="preserve">Max entropy generation rate reduction</t>
  </si>
  <si>
    <t xml:space="preserve">48.27%</t>
  </si>
  <si>
    <t xml:space="preserve">"the maximum reduction in the entropy generation rate...about 48.27%"</t>
  </si>
  <si>
    <t xml:space="preserve">Max entropy generation ratio reduction</t>
  </si>
  <si>
    <t xml:space="preserve">52.6%</t>
  </si>
  <si>
    <t xml:space="preserve">"...and the entropy generation ratio are about 48.27% and 52.6% respectively"</t>
  </si>
  <si>
    <t xml:space="preserve">Max dev. 4.1% (Nu), 5.3% (f)</t>
  </si>
  <si>
    <t xml:space="preserve">"maximum deviation of 4.1% and 5.3% for Nusselt number and friction factor, respectively"</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</si>
</sst>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Cambria"/>
      <family val="0"/>
      <charset val="1"/>
    </font>
    <font>
      <i val="true"/>
      <sz val="11"/>
      <color rgb="FF595959"/>
      <name val="Cambria"/>
      <family val="0"/>
      <charset val="1"/>
    </font>
    <font>
      <b val="true"/>
      <sz val="12"/>
      <color rgb="FF1F3864"/>
      <name val="Cambria"/>
      <family val="0"/>
      <charset val="1"/>
    </font>
    <font>
      <b val="true"/>
      <sz val="11"/>
      <name val="Cambria"/>
      <family val="0"/>
      <charset val="1"/>
    </font>
    <font>
      <b val="true"/>
      <sz val="11"/>
      <color rgb="FFFFFFFF"/>
      <name val="Cambria"/>
      <family val="0"/>
      <charset val="1"/>
    </font>
    <font>
      <b val="true"/>
      <sz val="11"/>
      <color rgb="FF9C0006"/>
      <name val="Cambria"/>
      <family val="0"/>
      <charset val="1"/>
    </font>
    <font>
      <b val="true"/>
      <sz val="14"/>
      <color rgb="FF1F3864"/>
      <name val="Cambria"/>
      <family val="0"/>
      <charset val="1"/>
    </font>
    <font>
      <b val="true"/>
      <sz val="11"/>
      <color rgb="FF006100"/>
      <name val="Cambria"/>
      <family val="0"/>
      <charset val="1"/>
    </font>
    <font>
      <b val="true"/>
      <sz val="11"/>
      <color rgb="FF7F6000"/>
      <name val="Cambria"/>
      <family val="0"/>
      <charset val="1"/>
    </font>
    <font>
      <b val="true"/>
      <sz val="11"/>
      <color rgb="FF1F3864"/>
      <name val="Cambria"/>
      <family val="0"/>
      <charset val="1"/>
    </font>
    <font>
      <sz val="10"/>
      <color rgb="FF404040"/>
      <name val="Cambria"/>
      <family val="0"/>
      <charset val="1"/>
    </font>
    <font>
      <sz val="10"/>
      <name val="Consolas"/>
      <family val="0"/>
      <charset val="1"/>
    </font>
    <font>
      <sz val="10"/>
      <color rgb="FF404040"/>
      <name val="Consolas"/>
      <family val="0"/>
      <charset val="1"/>
    </font>
    <font>
      <i val="true"/>
      <sz val="11"/>
      <color rgb="FF9C0006"/>
      <name val="Cambria"/>
      <family val="0"/>
      <charset val="1"/>
    </font>
  </fonts>
  <fills count="10">
    <fill>
      <patternFill patternType="none"/>
    </fill>
    <fill>
      <patternFill patternType="gray125"/>
    </fill>
    <fill>
      <patternFill patternType="solid">
        <fgColor rgb="FFC6EFCE"/>
        <bgColor rgb="FFCCFFFF"/>
      </patternFill>
    </fill>
    <fill>
      <patternFill patternType="solid">
        <fgColor rgb="FFFFC7CE"/>
        <bgColor rgb="FFCCCCFF"/>
      </patternFill>
    </fill>
    <fill>
      <patternFill patternType="solid">
        <fgColor rgb="FFFFC000"/>
        <bgColor rgb="FFFF9900"/>
      </patternFill>
    </fill>
    <fill>
      <patternFill patternType="solid">
        <fgColor rgb="FF1F3864"/>
        <bgColor rgb="FF404040"/>
      </patternFill>
    </fill>
    <fill>
      <patternFill patternType="solid">
        <fgColor rgb="FFF2F2F2"/>
        <bgColor rgb="FFFFFFFF"/>
      </patternFill>
    </fill>
    <fill>
      <patternFill patternType="solid">
        <fgColor rgb="FFFFFFFF"/>
        <bgColor rgb="FFF2F2F2"/>
      </patternFill>
    </fill>
    <fill>
      <patternFill patternType="solid">
        <fgColor rgb="FF305496"/>
        <bgColor rgb="FF1F3864"/>
      </patternFill>
    </fill>
    <fill>
      <patternFill patternType="solid">
        <fgColor rgb="FFFFF2CC"/>
        <bgColor rgb="FFF2F2F2"/>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0" fillId="6" borderId="1" xfId="0" applyFont="true" applyBorder="true" applyAlignment="true" applyProtection="false">
      <alignment horizontal="general" vertical="center" textRotation="0" wrapText="true" indent="0" shrinkToFit="false"/>
      <protection locked="true" hidden="false"/>
    </xf>
    <xf numFmtId="164" fontId="0" fillId="7"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9" borderId="1" xfId="0" applyFont="fals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9" borderId="1" xfId="0" applyFont="true" applyBorder="true" applyAlignment="true" applyProtection="false">
      <alignment horizontal="center" vertical="center" textRotation="0" wrapText="true" indent="0" shrinkToFit="false"/>
      <protection locked="true" hidden="false"/>
    </xf>
    <xf numFmtId="164" fontId="0" fillId="9"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9"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center"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true" applyProtection="false">
      <alignment horizontal="center" vertical="bottom" textRotation="0" wrapText="true" indent="0" shrinkToFit="false"/>
      <protection locked="true" hidden="false"/>
    </xf>
    <xf numFmtId="164" fontId="0" fillId="3" borderId="1" xfId="0" applyFont="true" applyBorder="true" applyAlignment="true" applyProtection="false">
      <alignment horizontal="center" vertical="bottom" textRotation="0" wrapText="true" indent="0" shrinkToFit="false"/>
      <protection locked="true" hidden="false"/>
    </xf>
    <xf numFmtId="164" fontId="0" fillId="9" borderId="1"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7B7B7"/>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30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8" min="2" style="0" width="22"/>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30" hidden="false" customHeight="true" outlineLevel="0" collapsed="false">
      <c r="A6" s="4" t="s">
        <v>4</v>
      </c>
      <c r="B6" s="4"/>
      <c r="C6" s="4"/>
      <c r="D6" s="4"/>
      <c r="E6" s="4"/>
      <c r="F6" s="4"/>
      <c r="G6" s="4"/>
      <c r="H6" s="4"/>
    </row>
    <row r="8" customFormat="false" ht="15" hidden="false" customHeight="false" outlineLevel="0" collapsed="false">
      <c r="A8" s="3" t="s">
        <v>5</v>
      </c>
    </row>
    <row r="9" customFormat="false" ht="30" hidden="false" customHeight="true" outlineLevel="0" collapsed="false">
      <c r="A9" s="4" t="s">
        <v>6</v>
      </c>
      <c r="B9" s="4"/>
      <c r="C9" s="4"/>
      <c r="D9" s="4"/>
      <c r="E9" s="4"/>
      <c r="F9" s="4"/>
      <c r="G9" s="4"/>
      <c r="H9" s="4"/>
    </row>
    <row r="11" customFormat="false" ht="15" hidden="false" customHeight="false" outlineLevel="0" collapsed="false">
      <c r="A11" s="3" t="s">
        <v>7</v>
      </c>
    </row>
    <row r="12" customFormat="false" ht="27.75" hidden="false" customHeight="true" outlineLevel="0" collapsed="false">
      <c r="A12" s="5" t="s">
        <v>8</v>
      </c>
      <c r="B12" s="6" t="s">
        <v>9</v>
      </c>
      <c r="C12" s="6"/>
      <c r="D12" s="6"/>
      <c r="E12" s="6"/>
      <c r="F12" s="6"/>
      <c r="G12" s="6"/>
      <c r="H12" s="6"/>
    </row>
    <row r="13" customFormat="false" ht="27.75" hidden="false" customHeight="true" outlineLevel="0" collapsed="false">
      <c r="A13" s="7" t="s">
        <v>10</v>
      </c>
      <c r="B13" s="6" t="s">
        <v>11</v>
      </c>
      <c r="C13" s="6"/>
      <c r="D13" s="6"/>
      <c r="E13" s="6"/>
      <c r="F13" s="6"/>
      <c r="G13" s="6"/>
      <c r="H13" s="6"/>
    </row>
    <row r="14" customFormat="false" ht="27.75" hidden="false" customHeight="true" outlineLevel="0" collapsed="false">
      <c r="A14" s="8" t="s">
        <v>12</v>
      </c>
      <c r="B14" s="6" t="s">
        <v>13</v>
      </c>
      <c r="C14" s="6"/>
      <c r="D14" s="6"/>
      <c r="E14" s="6"/>
      <c r="F14" s="6"/>
      <c r="G14" s="6"/>
      <c r="H14" s="6"/>
    </row>
    <row r="16" customFormat="false" ht="15" hidden="false" customHeight="false" outlineLevel="0" collapsed="false">
      <c r="A16" s="3" t="s">
        <v>14</v>
      </c>
    </row>
    <row r="17" customFormat="false" ht="31.5" hidden="false" customHeight="true" outlineLevel="0" collapsed="false">
      <c r="A17" s="9" t="s">
        <v>15</v>
      </c>
      <c r="B17" s="9" t="s">
        <v>16</v>
      </c>
      <c r="C17" s="9" t="s">
        <v>17</v>
      </c>
    </row>
    <row r="18" customFormat="false" ht="31.5" hidden="false" customHeight="true" outlineLevel="0" collapsed="false">
      <c r="A18" s="10" t="s">
        <v>18</v>
      </c>
      <c r="B18" s="10" t="s">
        <v>19</v>
      </c>
      <c r="C18" s="10" t="s">
        <v>20</v>
      </c>
    </row>
    <row r="19" customFormat="false" ht="31.5" hidden="false" customHeight="true" outlineLevel="0" collapsed="false">
      <c r="A19" s="11" t="s">
        <v>21</v>
      </c>
      <c r="B19" s="11" t="s">
        <v>22</v>
      </c>
      <c r="C19" s="11" t="s">
        <v>23</v>
      </c>
    </row>
    <row r="20" customFormat="false" ht="31.5" hidden="false" customHeight="true" outlineLevel="0" collapsed="false">
      <c r="A20" s="10" t="s">
        <v>24</v>
      </c>
      <c r="B20" s="10" t="s">
        <v>25</v>
      </c>
      <c r="C20" s="10" t="s">
        <v>26</v>
      </c>
    </row>
    <row r="21" customFormat="false" ht="31.5" hidden="false" customHeight="true" outlineLevel="0" collapsed="false">
      <c r="A21" s="11" t="s">
        <v>27</v>
      </c>
      <c r="B21" s="11" t="s">
        <v>28</v>
      </c>
      <c r="C21" s="11" t="s">
        <v>29</v>
      </c>
    </row>
    <row r="22" customFormat="false" ht="31.5" hidden="false" customHeight="true" outlineLevel="0" collapsed="false">
      <c r="A22" s="10" t="s">
        <v>30</v>
      </c>
      <c r="B22" s="10" t="s">
        <v>31</v>
      </c>
      <c r="C22" s="10" t="s">
        <v>32</v>
      </c>
    </row>
    <row r="24" customFormat="false" ht="15" hidden="false" customHeight="false" outlineLevel="0" collapsed="false">
      <c r="A24" s="12" t="s">
        <v>33</v>
      </c>
    </row>
    <row r="25" customFormat="false" ht="60" hidden="false" customHeight="true" outlineLevel="0" collapsed="false">
      <c r="A25" s="4" t="s">
        <v>34</v>
      </c>
      <c r="B25" s="4"/>
      <c r="C25" s="4"/>
      <c r="D25" s="4"/>
      <c r="E25" s="4"/>
      <c r="F25" s="4"/>
      <c r="G25" s="4"/>
      <c r="H25" s="4"/>
    </row>
    <row r="26" customFormat="false" ht="15" hidden="false" customHeight="false" outlineLevel="0" collapsed="false">
      <c r="A26" s="4"/>
      <c r="B26" s="4"/>
      <c r="C26" s="4"/>
      <c r="D26" s="4"/>
      <c r="E26" s="4"/>
      <c r="F26" s="4"/>
      <c r="G26" s="4"/>
      <c r="H26" s="4"/>
    </row>
    <row r="27" customFormat="false" ht="15" hidden="false" customHeight="false" outlineLevel="0" collapsed="false">
      <c r="A27" s="4"/>
      <c r="B27" s="4"/>
      <c r="C27" s="4"/>
      <c r="D27" s="4"/>
      <c r="E27" s="4"/>
      <c r="F27" s="4"/>
      <c r="G27" s="4"/>
      <c r="H27" s="4"/>
    </row>
    <row r="29" customFormat="false" ht="15" hidden="false" customHeight="false" outlineLevel="0" collapsed="false">
      <c r="A29" s="3" t="s">
        <v>35</v>
      </c>
    </row>
    <row r="30" customFormat="false" ht="15" hidden="false" customHeight="false" outlineLevel="0" collapsed="false">
      <c r="A30" s="13" t="s">
        <v>36</v>
      </c>
      <c r="B30" s="13"/>
      <c r="C30" s="13"/>
      <c r="D30" s="13"/>
      <c r="E30" s="13"/>
      <c r="F30" s="13"/>
      <c r="G30" s="13"/>
      <c r="H30" s="13"/>
    </row>
    <row r="31" customFormat="false" ht="15" hidden="false" customHeight="false" outlineLevel="0" collapsed="false">
      <c r="A31" s="13" t="s">
        <v>37</v>
      </c>
      <c r="B31" s="13"/>
      <c r="C31" s="13"/>
      <c r="D31" s="13"/>
      <c r="E31" s="13"/>
      <c r="F31" s="13"/>
      <c r="G31" s="13"/>
      <c r="H31" s="13"/>
    </row>
    <row r="32" customFormat="false" ht="15" hidden="false" customHeight="false" outlineLevel="0" collapsed="false">
      <c r="A32" s="13" t="s">
        <v>38</v>
      </c>
      <c r="B32" s="13"/>
      <c r="C32" s="13"/>
      <c r="D32" s="13"/>
      <c r="E32" s="13"/>
      <c r="F32" s="13"/>
      <c r="G32" s="13"/>
      <c r="H32" s="13"/>
    </row>
    <row r="33" customFormat="false" ht="15" hidden="false" customHeight="false" outlineLevel="0" collapsed="false">
      <c r="A33" s="13" t="s">
        <v>39</v>
      </c>
      <c r="B33" s="13"/>
      <c r="C33" s="13"/>
      <c r="D33" s="13"/>
      <c r="E33" s="13"/>
      <c r="F33" s="13"/>
      <c r="G33" s="13"/>
      <c r="H33" s="13"/>
    </row>
    <row r="34" customFormat="false" ht="15" hidden="false" customHeight="false" outlineLevel="0" collapsed="false">
      <c r="A34" s="13" t="s">
        <v>40</v>
      </c>
      <c r="B34" s="13"/>
      <c r="C34" s="13"/>
      <c r="D34" s="13"/>
      <c r="E34" s="13"/>
      <c r="F34" s="13"/>
      <c r="G34" s="13"/>
      <c r="H34" s="13"/>
    </row>
    <row r="35" customFormat="false" ht="15" hidden="false" customHeight="false" outlineLevel="0" collapsed="false">
      <c r="A35" s="13" t="s">
        <v>41</v>
      </c>
      <c r="B35" s="13"/>
      <c r="C35" s="13"/>
      <c r="D35" s="13"/>
      <c r="E35" s="13"/>
      <c r="F35" s="13"/>
      <c r="G35" s="13"/>
      <c r="H35" s="13"/>
    </row>
    <row r="36" customFormat="false" ht="15" hidden="false" customHeight="false" outlineLevel="0" collapsed="false">
      <c r="A36" s="13" t="s">
        <v>42</v>
      </c>
      <c r="B36" s="13"/>
      <c r="C36" s="13"/>
      <c r="D36" s="13"/>
      <c r="E36" s="13"/>
      <c r="F36" s="13"/>
      <c r="G36" s="13"/>
      <c r="H36" s="13"/>
    </row>
    <row r="37" customFormat="false" ht="15" hidden="false" customHeight="false" outlineLevel="0" collapsed="false">
      <c r="A37" s="13" t="s">
        <v>43</v>
      </c>
      <c r="B37" s="13"/>
      <c r="C37" s="13"/>
      <c r="D37" s="13"/>
      <c r="E37" s="13"/>
      <c r="F37" s="13"/>
      <c r="G37" s="13"/>
      <c r="H37" s="13"/>
    </row>
  </sheetData>
  <mergeCells count="14">
    <mergeCell ref="A6:H6"/>
    <mergeCell ref="A9:H9"/>
    <mergeCell ref="B12:H12"/>
    <mergeCell ref="B13:H13"/>
    <mergeCell ref="B14:H14"/>
    <mergeCell ref="A25:H27"/>
    <mergeCell ref="A30:H30"/>
    <mergeCell ref="A31:H31"/>
    <mergeCell ref="A32:H32"/>
    <mergeCell ref="A33:H33"/>
    <mergeCell ref="A34:H34"/>
    <mergeCell ref="A35:H35"/>
    <mergeCell ref="A36:H36"/>
    <mergeCell ref="A37:H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4" min="3" style="0" width="10"/>
    <col collapsed="false" customWidth="true" hidden="false" outlineLevel="0" max="5" min="5" style="0" width="9"/>
    <col collapsed="false" customWidth="true" hidden="false" outlineLevel="0" max="6" min="6" style="0" width="10"/>
    <col collapsed="false" customWidth="true" hidden="false" outlineLevel="0" max="7" min="7" style="0" width="9"/>
    <col collapsed="false" customWidth="true" hidden="false" outlineLevel="0" max="8" min="8" style="0" width="10"/>
    <col collapsed="false" customWidth="true" hidden="false" outlineLevel="0" max="9" min="9" style="0" width="9"/>
    <col collapsed="false" customWidth="true" hidden="false" outlineLevel="0" max="10" min="10" style="0" width="14"/>
    <col collapsed="false" customWidth="true" hidden="false" outlineLevel="0" max="11" min="11" style="0" width="8"/>
  </cols>
  <sheetData>
    <row r="1" customFormat="false" ht="17.35" hidden="false" customHeight="false" outlineLevel="0" collapsed="false">
      <c r="A1" s="14" t="s">
        <v>44</v>
      </c>
    </row>
    <row r="2" customFormat="false" ht="18" hidden="false" customHeight="true" outlineLevel="0" collapsed="false">
      <c r="A2" s="15" t="s">
        <v>45</v>
      </c>
      <c r="B2" s="15"/>
      <c r="C2" s="15"/>
      <c r="D2" s="15"/>
      <c r="E2" s="15"/>
      <c r="F2" s="15"/>
      <c r="G2" s="15"/>
      <c r="H2" s="15"/>
      <c r="I2" s="15"/>
      <c r="J2" s="15"/>
      <c r="K2" s="15"/>
      <c r="L2" s="15"/>
    </row>
    <row r="4" customFormat="false" ht="25.5" hidden="false" customHeight="true" outlineLevel="0" collapsed="false">
      <c r="A4" s="16" t="s">
        <v>46</v>
      </c>
      <c r="B4" s="16" t="s">
        <v>47</v>
      </c>
      <c r="C4" s="16" t="s">
        <v>48</v>
      </c>
      <c r="D4" s="16" t="s">
        <v>49</v>
      </c>
      <c r="E4" s="16" t="s">
        <v>50</v>
      </c>
      <c r="F4" s="16" t="s">
        <v>51</v>
      </c>
      <c r="G4" s="16" t="s">
        <v>52</v>
      </c>
      <c r="H4" s="16" t="s">
        <v>53</v>
      </c>
      <c r="I4" s="16" t="s">
        <v>54</v>
      </c>
      <c r="J4" s="16" t="s">
        <v>55</v>
      </c>
      <c r="K4" s="16" t="s">
        <v>56</v>
      </c>
    </row>
    <row r="5" customFormat="false" ht="15" hidden="false" customHeight="false" outlineLevel="0" collapsed="false">
      <c r="A5" s="17" t="s">
        <v>57</v>
      </c>
      <c r="B5" s="18" t="s">
        <v>8</v>
      </c>
      <c r="C5" s="17"/>
      <c r="D5" s="17"/>
      <c r="E5" s="17"/>
      <c r="F5" s="17"/>
      <c r="G5" s="17"/>
      <c r="H5" s="17"/>
      <c r="I5" s="17"/>
      <c r="J5" s="17" t="s">
        <v>58</v>
      </c>
      <c r="K5" s="17" t="n">
        <v>0</v>
      </c>
    </row>
    <row r="6" customFormat="false" ht="15" hidden="false" customHeight="false" outlineLevel="0" collapsed="false">
      <c r="A6" s="17" t="s">
        <v>59</v>
      </c>
      <c r="B6" s="18" t="s">
        <v>8</v>
      </c>
      <c r="C6" s="17" t="n">
        <v>200</v>
      </c>
      <c r="D6" s="17" t="n">
        <v>15</v>
      </c>
      <c r="E6" s="17" t="n">
        <v>0.6</v>
      </c>
      <c r="F6" s="17" t="n">
        <v>13.8</v>
      </c>
      <c r="G6" s="17" t="n">
        <v>3.03</v>
      </c>
      <c r="H6" s="17" t="n">
        <v>0.23</v>
      </c>
      <c r="I6" s="17" t="n">
        <v>0.04</v>
      </c>
      <c r="J6" s="17" t="s">
        <v>60</v>
      </c>
      <c r="K6" s="17" t="n">
        <v>0.5</v>
      </c>
    </row>
    <row r="7" customFormat="false" ht="15" hidden="false" customHeight="false" outlineLevel="0" collapsed="false">
      <c r="A7" s="17" t="s">
        <v>61</v>
      </c>
      <c r="B7" s="18" t="s">
        <v>8</v>
      </c>
      <c r="C7" s="17" t="n">
        <v>200</v>
      </c>
      <c r="D7" s="17" t="n">
        <v>25</v>
      </c>
      <c r="E7" s="17" t="n">
        <v>3</v>
      </c>
      <c r="F7" s="17" t="n">
        <v>19</v>
      </c>
      <c r="G7" s="17" t="n">
        <v>3.03</v>
      </c>
      <c r="H7" s="17" t="n">
        <v>0.38</v>
      </c>
      <c r="I7" s="17" t="n">
        <v>0.12</v>
      </c>
      <c r="J7" s="17" t="s">
        <v>60</v>
      </c>
      <c r="K7" s="17" t="n">
        <v>1</v>
      </c>
    </row>
    <row r="8" customFormat="false" ht="15" hidden="false" customHeight="false" outlineLevel="0" collapsed="false">
      <c r="A8" s="17" t="s">
        <v>62</v>
      </c>
      <c r="B8" s="19" t="s">
        <v>10</v>
      </c>
      <c r="C8" s="17" t="n">
        <v>200</v>
      </c>
      <c r="D8" s="17" t="n">
        <v>35</v>
      </c>
      <c r="E8" s="17" t="n">
        <v>2.8</v>
      </c>
      <c r="F8" s="17" t="n">
        <v>29.4</v>
      </c>
      <c r="G8" s="17" t="n">
        <v>3.03</v>
      </c>
      <c r="H8" s="17" t="n">
        <v>0.53</v>
      </c>
      <c r="I8" s="17" t="n">
        <v>0.08</v>
      </c>
      <c r="J8" s="17" t="s">
        <v>60</v>
      </c>
      <c r="K8" s="17" t="n">
        <v>2</v>
      </c>
    </row>
    <row r="9" customFormat="false" ht="15" hidden="false" customHeight="false" outlineLevel="0" collapsed="false">
      <c r="A9" s="17" t="s">
        <v>63</v>
      </c>
      <c r="B9" s="18" t="s">
        <v>8</v>
      </c>
      <c r="C9" s="17" t="n">
        <v>300</v>
      </c>
      <c r="D9" s="17" t="n">
        <v>15</v>
      </c>
      <c r="E9" s="17" t="n">
        <v>1.8</v>
      </c>
      <c r="F9" s="17" t="n">
        <v>11.4</v>
      </c>
      <c r="G9" s="17" t="n">
        <v>4.55</v>
      </c>
      <c r="H9" s="17" t="n">
        <v>0.23</v>
      </c>
      <c r="I9" s="17" t="n">
        <v>0.12</v>
      </c>
      <c r="J9" s="17" t="s">
        <v>60</v>
      </c>
      <c r="K9" s="17" t="n">
        <v>0.5</v>
      </c>
    </row>
    <row r="10" customFormat="false" ht="15" hidden="false" customHeight="false" outlineLevel="0" collapsed="false">
      <c r="A10" s="17" t="s">
        <v>64</v>
      </c>
      <c r="B10" s="20" t="s">
        <v>65</v>
      </c>
      <c r="C10" s="17" t="n">
        <v>300</v>
      </c>
      <c r="D10" s="17" t="n">
        <v>25</v>
      </c>
      <c r="E10" s="17" t="n">
        <v>2</v>
      </c>
      <c r="F10" s="17" t="n">
        <v>21</v>
      </c>
      <c r="G10" s="17" t="n">
        <v>4.55</v>
      </c>
      <c r="H10" s="17" t="n">
        <v>0.38</v>
      </c>
      <c r="I10" s="17" t="n">
        <v>0.08</v>
      </c>
      <c r="J10" s="17" t="s">
        <v>60</v>
      </c>
      <c r="K10" s="17" t="n">
        <v>1</v>
      </c>
    </row>
    <row r="11" customFormat="false" ht="15" hidden="false" customHeight="false" outlineLevel="0" collapsed="false">
      <c r="A11" s="17" t="s">
        <v>66</v>
      </c>
      <c r="B11" s="19" t="s">
        <v>10</v>
      </c>
      <c r="C11" s="17" t="n">
        <v>300</v>
      </c>
      <c r="D11" s="17" t="n">
        <v>35</v>
      </c>
      <c r="E11" s="17" t="n">
        <v>1.4</v>
      </c>
      <c r="F11" s="17" t="n">
        <v>32.2</v>
      </c>
      <c r="G11" s="17" t="n">
        <v>4.55</v>
      </c>
      <c r="H11" s="17" t="n">
        <v>0.53</v>
      </c>
      <c r="I11" s="17" t="n">
        <v>0.04</v>
      </c>
      <c r="J11" s="17" t="s">
        <v>60</v>
      </c>
      <c r="K11" s="17" t="n">
        <v>2</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20"/>
    <col collapsed="false" customWidth="true" hidden="false" outlineLevel="0" max="4" min="4" style="0" width="16"/>
    <col collapsed="false" customWidth="true" hidden="false" outlineLevel="0" max="5" min="5" style="0" width="14"/>
    <col collapsed="false" customWidth="true" hidden="false" outlineLevel="0" max="6" min="6" style="0" width="15"/>
    <col collapsed="false" customWidth="true" hidden="false" outlineLevel="0" max="8" min="7" style="0" width="45"/>
  </cols>
  <sheetData>
    <row r="1" customFormat="false" ht="17.35" hidden="false" customHeight="false" outlineLevel="0" collapsed="false">
      <c r="A1" s="14" t="s">
        <v>67</v>
      </c>
    </row>
    <row r="3" customFormat="false" ht="15" hidden="false" customHeight="false" outlineLevel="0" collapsed="false">
      <c r="A3" s="21" t="s">
        <v>68</v>
      </c>
    </row>
    <row r="4" customFormat="false" ht="15" hidden="false" customHeight="false" outlineLevel="0" collapsed="false">
      <c r="A4" s="22" t="s">
        <v>69</v>
      </c>
      <c r="B4" s="22"/>
      <c r="C4" s="22"/>
      <c r="D4" s="22"/>
      <c r="E4" s="22"/>
      <c r="F4" s="22"/>
      <c r="G4" s="22"/>
      <c r="H4" s="22"/>
      <c r="I4" s="22"/>
      <c r="J4" s="22"/>
      <c r="K4" s="22"/>
      <c r="L4" s="22"/>
    </row>
    <row r="5" customFormat="false" ht="15" hidden="false" customHeight="false" outlineLevel="0" collapsed="false">
      <c r="A5" s="22" t="s">
        <v>70</v>
      </c>
      <c r="B5" s="22"/>
      <c r="C5" s="22"/>
      <c r="D5" s="22"/>
      <c r="E5" s="22"/>
      <c r="F5" s="22"/>
      <c r="G5" s="22"/>
      <c r="H5" s="22"/>
      <c r="I5" s="22"/>
      <c r="J5" s="22"/>
      <c r="K5" s="22"/>
      <c r="L5" s="22"/>
    </row>
    <row r="6" customFormat="false" ht="15" hidden="false" customHeight="false" outlineLevel="0" collapsed="false">
      <c r="A6" s="22" t="s">
        <v>71</v>
      </c>
      <c r="B6" s="22"/>
      <c r="C6" s="22"/>
      <c r="D6" s="22"/>
      <c r="E6" s="22"/>
      <c r="F6" s="22"/>
      <c r="G6" s="22"/>
      <c r="H6" s="22"/>
      <c r="I6" s="22"/>
      <c r="J6" s="22"/>
      <c r="K6" s="22"/>
      <c r="L6" s="22"/>
    </row>
    <row r="7" customFormat="false" ht="15" hidden="false" customHeight="false" outlineLevel="0" collapsed="false">
      <c r="A7" s="22" t="s">
        <v>72</v>
      </c>
      <c r="B7" s="22"/>
      <c r="C7" s="22"/>
      <c r="D7" s="22"/>
      <c r="E7" s="22"/>
      <c r="F7" s="22"/>
      <c r="G7" s="22"/>
      <c r="H7" s="22"/>
      <c r="I7" s="22"/>
      <c r="J7" s="22"/>
      <c r="K7" s="22"/>
      <c r="L7" s="22"/>
    </row>
    <row r="8" customFormat="false" ht="15" hidden="false" customHeight="false" outlineLevel="0" collapsed="false">
      <c r="A8" s="22" t="s">
        <v>73</v>
      </c>
      <c r="B8" s="22"/>
      <c r="C8" s="22"/>
      <c r="D8" s="22"/>
      <c r="E8" s="22"/>
      <c r="F8" s="22"/>
      <c r="G8" s="22"/>
      <c r="H8" s="22"/>
      <c r="I8" s="22"/>
      <c r="J8" s="22"/>
      <c r="K8" s="22"/>
      <c r="L8" s="22"/>
    </row>
    <row r="9" customFormat="false" ht="15" hidden="false" customHeight="false" outlineLevel="0" collapsed="false">
      <c r="A9" s="22" t="s">
        <v>74</v>
      </c>
      <c r="B9" s="22"/>
      <c r="C9" s="22"/>
      <c r="D9" s="22"/>
      <c r="E9" s="22"/>
      <c r="F9" s="22"/>
      <c r="G9" s="22"/>
      <c r="H9" s="22"/>
      <c r="I9" s="22"/>
      <c r="J9" s="22"/>
      <c r="K9" s="22"/>
      <c r="L9" s="22"/>
    </row>
    <row r="10" customFormat="false" ht="15" hidden="false" customHeight="false" outlineLevel="0" collapsed="false">
      <c r="A10" s="22" t="s">
        <v>75</v>
      </c>
      <c r="B10" s="22"/>
      <c r="C10" s="22"/>
      <c r="D10" s="22"/>
      <c r="E10" s="22"/>
      <c r="F10" s="22"/>
      <c r="G10" s="22"/>
      <c r="H10" s="22"/>
      <c r="I10" s="22"/>
      <c r="J10" s="22"/>
      <c r="K10" s="22"/>
      <c r="L10" s="22"/>
    </row>
    <row r="11" customFormat="false" ht="15" hidden="false" customHeight="false" outlineLevel="0" collapsed="false">
      <c r="A11" s="22" t="s">
        <v>76</v>
      </c>
      <c r="B11" s="22"/>
      <c r="C11" s="22"/>
      <c r="D11" s="22"/>
      <c r="E11" s="22"/>
      <c r="F11" s="22"/>
      <c r="G11" s="22"/>
      <c r="H11" s="22"/>
      <c r="I11" s="22"/>
      <c r="J11" s="22"/>
      <c r="K11" s="22"/>
      <c r="L11" s="22"/>
    </row>
    <row r="13" customFormat="false" ht="15" hidden="false" customHeight="false" outlineLevel="0" collapsed="false">
      <c r="A13" s="21" t="s">
        <v>77</v>
      </c>
    </row>
    <row r="14" customFormat="false" ht="30" hidden="false" customHeight="true" outlineLevel="0" collapsed="false">
      <c r="A14" s="16" t="s">
        <v>46</v>
      </c>
      <c r="B14" s="16" t="s">
        <v>78</v>
      </c>
      <c r="C14" s="16" t="s">
        <v>79</v>
      </c>
      <c r="D14" s="16" t="s">
        <v>80</v>
      </c>
      <c r="E14" s="16" t="s">
        <v>81</v>
      </c>
      <c r="F14" s="16" t="s">
        <v>82</v>
      </c>
      <c r="G14" s="16" t="s">
        <v>83</v>
      </c>
    </row>
    <row r="15" customFormat="false" ht="15" hidden="false" customHeight="false" outlineLevel="0" collapsed="false">
      <c r="A15" s="23" t="s">
        <v>57</v>
      </c>
      <c r="B15" s="23" t="n">
        <v>2.28</v>
      </c>
      <c r="C15" s="23" t="s">
        <v>84</v>
      </c>
      <c r="D15" s="23" t="n">
        <v>0.006959</v>
      </c>
      <c r="E15" s="23" t="n">
        <v>1.2</v>
      </c>
      <c r="F15" s="23" t="n">
        <v>15</v>
      </c>
      <c r="G15" s="23" t="s">
        <v>85</v>
      </c>
    </row>
    <row r="16" customFormat="false" ht="15" hidden="false" customHeight="false" outlineLevel="0" collapsed="false">
      <c r="A16" s="23" t="s">
        <v>59</v>
      </c>
      <c r="B16" s="23" t="n">
        <v>2.96</v>
      </c>
      <c r="C16" s="23" t="s">
        <v>84</v>
      </c>
      <c r="D16" s="23" t="n">
        <v>0.006959</v>
      </c>
      <c r="E16" s="23" t="n">
        <v>1.2</v>
      </c>
      <c r="F16" s="23" t="n">
        <v>15</v>
      </c>
      <c r="G16" s="23" t="s">
        <v>85</v>
      </c>
    </row>
    <row r="17" customFormat="false" ht="15" hidden="false" customHeight="false" outlineLevel="0" collapsed="false">
      <c r="A17" s="23" t="s">
        <v>61</v>
      </c>
      <c r="B17" s="23" t="n">
        <v>2.96</v>
      </c>
      <c r="C17" s="23" t="s">
        <v>84</v>
      </c>
      <c r="D17" s="23" t="n">
        <v>0.006959</v>
      </c>
      <c r="E17" s="23" t="n">
        <v>1.2</v>
      </c>
      <c r="F17" s="23" t="n">
        <v>15</v>
      </c>
      <c r="G17" s="23" t="s">
        <v>85</v>
      </c>
    </row>
    <row r="18" customFormat="false" ht="15" hidden="false" customHeight="false" outlineLevel="0" collapsed="false">
      <c r="A18" s="23" t="s">
        <v>62</v>
      </c>
      <c r="B18" s="23" t="n">
        <v>2.96</v>
      </c>
      <c r="C18" s="23" t="s">
        <v>84</v>
      </c>
      <c r="D18" s="23" t="n">
        <v>0.006959</v>
      </c>
      <c r="E18" s="23" t="n">
        <v>1.2</v>
      </c>
      <c r="F18" s="23" t="n">
        <v>15</v>
      </c>
      <c r="G18" s="23" t="s">
        <v>85</v>
      </c>
    </row>
    <row r="19" customFormat="false" ht="15" hidden="false" customHeight="false" outlineLevel="0" collapsed="false">
      <c r="A19" s="23" t="s">
        <v>63</v>
      </c>
      <c r="B19" s="23" t="n">
        <v>2.96</v>
      </c>
      <c r="C19" s="23" t="s">
        <v>84</v>
      </c>
      <c r="D19" s="23" t="n">
        <v>0.006959</v>
      </c>
      <c r="E19" s="23" t="n">
        <v>1.2</v>
      </c>
      <c r="F19" s="23" t="n">
        <v>15</v>
      </c>
      <c r="G19" s="23" t="s">
        <v>85</v>
      </c>
    </row>
    <row r="20" customFormat="false" ht="41.75" hidden="false" customHeight="false" outlineLevel="0" collapsed="false">
      <c r="A20" s="23" t="s">
        <v>64</v>
      </c>
      <c r="B20" s="23" t="n">
        <v>2.96</v>
      </c>
      <c r="C20" s="23" t="s">
        <v>86</v>
      </c>
      <c r="D20" s="23" t="n">
        <v>0.006959</v>
      </c>
      <c r="E20" s="23" t="n">
        <v>1.2</v>
      </c>
      <c r="F20" s="23" t="n">
        <v>15</v>
      </c>
      <c r="G20" s="23" t="s">
        <v>85</v>
      </c>
    </row>
    <row r="21" customFormat="false" ht="15" hidden="false" customHeight="false" outlineLevel="0" collapsed="false">
      <c r="A21" s="23" t="s">
        <v>66</v>
      </c>
      <c r="B21" s="23" t="n">
        <v>2.96</v>
      </c>
      <c r="C21" s="23" t="s">
        <v>84</v>
      </c>
      <c r="D21" s="23" t="n">
        <v>0.006959</v>
      </c>
      <c r="E21" s="23" t="n">
        <v>1.2</v>
      </c>
      <c r="F21" s="23" t="n">
        <v>15</v>
      </c>
      <c r="G21" s="23" t="s">
        <v>85</v>
      </c>
    </row>
    <row r="23" customFormat="false" ht="15" hidden="false" customHeight="false" outlineLevel="0" collapsed="false">
      <c r="A23" s="21" t="s">
        <v>87</v>
      </c>
    </row>
    <row r="24" customFormat="false" ht="30" hidden="false" customHeight="true" outlineLevel="0" collapsed="false">
      <c r="A24" s="16" t="s">
        <v>46</v>
      </c>
      <c r="B24" s="16" t="s">
        <v>88</v>
      </c>
      <c r="C24" s="16" t="s">
        <v>89</v>
      </c>
      <c r="D24" s="16" t="s">
        <v>90</v>
      </c>
      <c r="E24" s="16" t="s">
        <v>91</v>
      </c>
      <c r="F24" s="16" t="s">
        <v>92</v>
      </c>
      <c r="G24" s="16" t="s">
        <v>93</v>
      </c>
    </row>
    <row r="25" customFormat="false" ht="45" hidden="false" customHeight="true" outlineLevel="0" collapsed="false">
      <c r="A25" s="23" t="s">
        <v>57</v>
      </c>
      <c r="B25" s="23" t="n">
        <v>5825667</v>
      </c>
      <c r="C25" s="23" t="n">
        <v>1986806</v>
      </c>
      <c r="D25" s="23" t="n">
        <v>0.79995</v>
      </c>
      <c r="E25" s="24" t="n">
        <v>0.20005</v>
      </c>
      <c r="F25" s="23" t="s">
        <v>94</v>
      </c>
      <c r="G25" s="23" t="s">
        <v>95</v>
      </c>
    </row>
    <row r="26" customFormat="false" ht="45" hidden="false" customHeight="true" outlineLevel="0" collapsed="false">
      <c r="A26" s="23" t="s">
        <v>59</v>
      </c>
      <c r="B26" s="23" t="n">
        <v>3991036</v>
      </c>
      <c r="C26" s="23" t="n">
        <v>1636945</v>
      </c>
      <c r="D26" s="23" t="n">
        <v>0.84954</v>
      </c>
      <c r="E26" s="24" t="n">
        <v>0.015272</v>
      </c>
      <c r="F26" s="23" t="s">
        <v>96</v>
      </c>
      <c r="G26" s="23" t="s">
        <v>97</v>
      </c>
    </row>
    <row r="27" customFormat="false" ht="45" hidden="false" customHeight="true" outlineLevel="0" collapsed="false">
      <c r="A27" s="23" t="s">
        <v>61</v>
      </c>
      <c r="B27" s="23" t="n">
        <v>5032279</v>
      </c>
      <c r="C27" s="23" t="n">
        <v>1869731</v>
      </c>
      <c r="D27" s="23" t="n">
        <v>0.84882</v>
      </c>
      <c r="E27" s="25" t="n">
        <v>0.010296</v>
      </c>
      <c r="F27" s="23" t="s">
        <v>98</v>
      </c>
      <c r="G27" s="23" t="s">
        <v>99</v>
      </c>
    </row>
    <row r="28" customFormat="false" ht="45" hidden="false" customHeight="true" outlineLevel="0" collapsed="false">
      <c r="A28" s="23" t="s">
        <v>62</v>
      </c>
      <c r="B28" s="23" t="n">
        <v>6293136</v>
      </c>
      <c r="C28" s="23" t="n">
        <v>2404391</v>
      </c>
      <c r="D28" s="23" t="n">
        <v>0.84882</v>
      </c>
      <c r="E28" s="26" t="n">
        <v>0.0096914</v>
      </c>
      <c r="F28" s="27" t="s">
        <v>100</v>
      </c>
      <c r="G28" s="23" t="s">
        <v>101</v>
      </c>
    </row>
    <row r="29" customFormat="false" ht="45" hidden="false" customHeight="true" outlineLevel="0" collapsed="false">
      <c r="A29" s="23" t="s">
        <v>63</v>
      </c>
      <c r="B29" s="23" t="n">
        <v>4378599</v>
      </c>
      <c r="C29" s="23" t="n">
        <v>1625862</v>
      </c>
      <c r="D29" s="23" t="n">
        <v>0.84954</v>
      </c>
      <c r="E29" s="24" t="n">
        <v>0.016175</v>
      </c>
      <c r="F29" s="23" t="s">
        <v>102</v>
      </c>
      <c r="G29" s="23" t="s">
        <v>103</v>
      </c>
    </row>
    <row r="30" customFormat="false" ht="45" hidden="false" customHeight="true" outlineLevel="0" collapsed="false">
      <c r="A30" s="23" t="s">
        <v>64</v>
      </c>
      <c r="B30" s="23"/>
      <c r="C30" s="23"/>
      <c r="D30" s="23"/>
      <c r="E30" s="28"/>
      <c r="F30" s="23" t="s">
        <v>104</v>
      </c>
      <c r="G30" s="23" t="s">
        <v>105</v>
      </c>
    </row>
    <row r="31" customFormat="false" ht="45" hidden="false" customHeight="true" outlineLevel="0" collapsed="false">
      <c r="A31" s="23" t="s">
        <v>66</v>
      </c>
      <c r="B31" s="23" t="n">
        <v>6054475</v>
      </c>
      <c r="C31" s="23" t="n">
        <v>2334551</v>
      </c>
      <c r="D31" s="23" t="n">
        <v>0.84954</v>
      </c>
      <c r="E31" s="26" t="n">
        <v>0.0092812</v>
      </c>
      <c r="F31" s="27" t="s">
        <v>106</v>
      </c>
      <c r="G31" s="23" t="s">
        <v>107</v>
      </c>
    </row>
  </sheetData>
  <mergeCells count="8">
    <mergeCell ref="A4:L4"/>
    <mergeCell ref="A5:L5"/>
    <mergeCell ref="A6:L6"/>
    <mergeCell ref="A7:L7"/>
    <mergeCell ref="A8:L8"/>
    <mergeCell ref="A9:L9"/>
    <mergeCell ref="A10:L10"/>
    <mergeCell ref="A11:L11"/>
  </mergeCells>
  <conditionalFormatting sqref="E25:E31">
    <cfRule type="dataBar" priority="2">
      <dataBar showValue="1" minLength="10" maxLength="90">
        <cfvo type="num" val="0"/>
        <cfvo type="num" val="0.03"/>
        <color rgb="FF638EC6"/>
      </dataBar>
      <extLst>
        <ext xmlns:x14="http://schemas.microsoft.com/office/spreadsheetml/2009/9/main" uri="{B025F937-C7B1-47D3-B67F-A62EFF666E3E}">
          <x14:id>{BE314F43-3CEF-4F12-A682-B9608464B7C2}</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E314F43-3CEF-4F12-A682-B9608464B7C2}">
            <x14:dataBar minLength="10" maxLength="90" axisPosition="none" gradient="true">
              <x14:cfvo type="num">
                <xm:f>0</xm:f>
              </x14:cfvo>
              <x14:cfvo type="num">
                <xm:f>0.03</xm:f>
              </x14:cfvo>
              <x14:negativeFillColor rgb="FF638EC6"/>
              <x14:axisColor rgb="FF000000"/>
            </x14:dataBar>
          </x14:cfRule>
          <xm:sqref>E25:E31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32"/>
    <col collapsed="false" customWidth="true" hidden="false" outlineLevel="0" max="3" min="3" style="0" width="70"/>
  </cols>
  <sheetData>
    <row r="1" customFormat="false" ht="17.35" hidden="false" customHeight="false" outlineLevel="0" collapsed="false">
      <c r="A1" s="14" t="s">
        <v>108</v>
      </c>
    </row>
    <row r="2" customFormat="false" ht="15" hidden="false" customHeight="false" outlineLevel="0" collapsed="false">
      <c r="A2" s="15" t="s">
        <v>109</v>
      </c>
      <c r="B2" s="15"/>
      <c r="C2" s="15"/>
      <c r="D2" s="15"/>
    </row>
    <row r="4" customFormat="false" ht="21.75" hidden="false" customHeight="true" outlineLevel="0" collapsed="false">
      <c r="A4" s="16" t="s">
        <v>110</v>
      </c>
      <c r="B4" s="16" t="s">
        <v>111</v>
      </c>
      <c r="C4" s="16" t="s">
        <v>112</v>
      </c>
    </row>
    <row r="5" customFormat="false" ht="43.5" hidden="false" customHeight="true" outlineLevel="0" collapsed="false">
      <c r="A5" s="23" t="s">
        <v>113</v>
      </c>
      <c r="B5" s="29" t="s">
        <v>114</v>
      </c>
      <c r="C5" s="29" t="s">
        <v>115</v>
      </c>
    </row>
    <row r="6" customFormat="false" ht="43.5" hidden="false" customHeight="true" outlineLevel="0" collapsed="false">
      <c r="A6" s="23" t="s">
        <v>116</v>
      </c>
      <c r="B6" s="29" t="s">
        <v>117</v>
      </c>
      <c r="C6" s="29" t="s">
        <v>118</v>
      </c>
    </row>
    <row r="7" customFormat="false" ht="43.5" hidden="false" customHeight="true" outlineLevel="0" collapsed="false">
      <c r="A7" s="23" t="s">
        <v>119</v>
      </c>
      <c r="B7" s="29" t="s">
        <v>120</v>
      </c>
      <c r="C7" s="29" t="s">
        <v>121</v>
      </c>
    </row>
    <row r="8" customFormat="false" ht="43.5" hidden="false" customHeight="true" outlineLevel="0" collapsed="false">
      <c r="A8" s="23" t="s">
        <v>122</v>
      </c>
      <c r="B8" s="29" t="s">
        <v>123</v>
      </c>
      <c r="C8" s="29" t="s">
        <v>124</v>
      </c>
    </row>
    <row r="9" customFormat="false" ht="43.5" hidden="false" customHeight="true" outlineLevel="0" collapsed="false">
      <c r="A9" s="23" t="s">
        <v>125</v>
      </c>
      <c r="B9" s="29" t="s">
        <v>126</v>
      </c>
      <c r="C9" s="29" t="s">
        <v>127</v>
      </c>
    </row>
    <row r="10" customFormat="false" ht="43.5" hidden="false" customHeight="true" outlineLevel="0" collapsed="false">
      <c r="A10" s="23" t="s">
        <v>128</v>
      </c>
      <c r="B10" s="29" t="s">
        <v>129</v>
      </c>
      <c r="C10" s="29" t="s">
        <v>130</v>
      </c>
    </row>
    <row r="11" customFormat="false" ht="43.5" hidden="false" customHeight="true" outlineLevel="0" collapsed="false">
      <c r="A11" s="30" t="s">
        <v>131</v>
      </c>
      <c r="B11" s="31" t="s">
        <v>132</v>
      </c>
      <c r="C11" s="31" t="s">
        <v>133</v>
      </c>
    </row>
    <row r="12" customFormat="false" ht="43.5" hidden="false" customHeight="true" outlineLevel="0" collapsed="false">
      <c r="A12" s="23" t="s">
        <v>134</v>
      </c>
      <c r="B12" s="29" t="s">
        <v>135</v>
      </c>
      <c r="C12" s="29" t="s">
        <v>136</v>
      </c>
    </row>
    <row r="13" customFormat="false" ht="43.5" hidden="false" customHeight="true" outlineLevel="0" collapsed="false">
      <c r="A13" s="23" t="s">
        <v>137</v>
      </c>
      <c r="B13" s="29" t="s">
        <v>138</v>
      </c>
      <c r="C13" s="29" t="s">
        <v>139</v>
      </c>
    </row>
    <row r="14" customFormat="false" ht="43.5" hidden="false" customHeight="true" outlineLevel="0" collapsed="false">
      <c r="A14" s="23" t="s">
        <v>140</v>
      </c>
      <c r="B14" s="29" t="s">
        <v>141</v>
      </c>
      <c r="C14" s="29" t="s">
        <v>142</v>
      </c>
    </row>
    <row r="15" customFormat="false" ht="43.5" hidden="false" customHeight="true" outlineLevel="0" collapsed="false">
      <c r="A15" s="23" t="s">
        <v>143</v>
      </c>
      <c r="B15" s="29" t="s">
        <v>144</v>
      </c>
      <c r="C15" s="29" t="s">
        <v>145</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4" min="3" style="0" width="18"/>
    <col collapsed="false" customWidth="true" hidden="false" outlineLevel="0" max="6" min="5" style="0" width="16"/>
  </cols>
  <sheetData>
    <row r="1" customFormat="false" ht="17.35" hidden="false" customHeight="false" outlineLevel="0" collapsed="false">
      <c r="A1" s="14" t="s">
        <v>146</v>
      </c>
    </row>
    <row r="3" customFormat="false" ht="15" hidden="false" customHeight="false" outlineLevel="0" collapsed="false">
      <c r="A3" s="21" t="s">
        <v>147</v>
      </c>
    </row>
    <row r="4" customFormat="false" ht="21.75" hidden="false" customHeight="true" outlineLevel="0" collapsed="false">
      <c r="A4" s="16" t="s">
        <v>148</v>
      </c>
      <c r="B4" s="16" t="s">
        <v>149</v>
      </c>
      <c r="C4" s="16" t="s">
        <v>150</v>
      </c>
      <c r="D4" s="16" t="s">
        <v>151</v>
      </c>
      <c r="E4" s="16" t="s">
        <v>152</v>
      </c>
    </row>
    <row r="5" customFormat="false" ht="15" hidden="false" customHeight="false" outlineLevel="0" collapsed="false">
      <c r="A5" s="32" t="n">
        <v>747.2</v>
      </c>
      <c r="B5" s="32" t="n">
        <v>1962</v>
      </c>
      <c r="C5" s="32" t="n">
        <v>0.0961</v>
      </c>
      <c r="D5" s="32" t="n">
        <v>0.00084</v>
      </c>
      <c r="E5" s="32" t="s">
        <v>153</v>
      </c>
    </row>
    <row r="7" customFormat="false" ht="15" hidden="false" customHeight="false" outlineLevel="0" collapsed="false">
      <c r="A7" s="21" t="s">
        <v>154</v>
      </c>
    </row>
    <row r="8" customFormat="false" ht="21.75" hidden="false" customHeight="true" outlineLevel="0" collapsed="false">
      <c r="A8" s="16" t="s">
        <v>155</v>
      </c>
      <c r="B8" s="16" t="s">
        <v>156</v>
      </c>
      <c r="C8" s="16" t="s">
        <v>157</v>
      </c>
      <c r="D8" s="16" t="s">
        <v>152</v>
      </c>
    </row>
    <row r="9" customFormat="false" ht="15" hidden="false" customHeight="false" outlineLevel="0" collapsed="false">
      <c r="A9" s="32" t="s">
        <v>158</v>
      </c>
      <c r="B9" s="32" t="n">
        <v>5180</v>
      </c>
      <c r="C9" s="32" t="n">
        <v>670</v>
      </c>
      <c r="D9" s="32" t="s">
        <v>153</v>
      </c>
    </row>
    <row r="10" customFormat="false" ht="15" hidden="false" customHeight="false" outlineLevel="0" collapsed="false">
      <c r="A10" s="32" t="s">
        <v>159</v>
      </c>
      <c r="B10" s="32" t="n">
        <v>1800</v>
      </c>
      <c r="C10" s="32" t="n">
        <v>717</v>
      </c>
      <c r="D10" s="32" t="s">
        <v>153</v>
      </c>
    </row>
    <row r="11" customFormat="false" ht="15" hidden="false" customHeight="false" outlineLevel="0" collapsed="false">
      <c r="A11" s="32" t="s">
        <v>160</v>
      </c>
      <c r="B11" s="33" t="s">
        <v>161</v>
      </c>
      <c r="C11" s="33" t="s">
        <v>161</v>
      </c>
      <c r="D11" s="32" t="s">
        <v>162</v>
      </c>
    </row>
    <row r="12" customFormat="false" ht="15" hidden="false" customHeight="false" outlineLevel="0" collapsed="false">
      <c r="A12" s="32" t="s">
        <v>163</v>
      </c>
      <c r="B12" s="33" t="s">
        <v>161</v>
      </c>
      <c r="C12" s="33" t="s">
        <v>161</v>
      </c>
      <c r="D12" s="32" t="s">
        <v>162</v>
      </c>
    </row>
    <row r="13" customFormat="false" ht="15" hidden="false" customHeight="false" outlineLevel="0" collapsed="false">
      <c r="A13" s="32" t="s">
        <v>164</v>
      </c>
      <c r="B13" s="33" t="s">
        <v>161</v>
      </c>
      <c r="C13" s="33" t="s">
        <v>161</v>
      </c>
      <c r="D13" s="32" t="s">
        <v>162</v>
      </c>
    </row>
    <row r="14" customFormat="false" ht="15" hidden="false" customHeight="false" outlineLevel="0" collapsed="false">
      <c r="A14" s="32" t="s">
        <v>165</v>
      </c>
      <c r="B14" s="33" t="s">
        <v>161</v>
      </c>
      <c r="C14" s="33" t="s">
        <v>161</v>
      </c>
      <c r="D14" s="32" t="s">
        <v>162</v>
      </c>
    </row>
    <row r="16" customFormat="false" ht="15" hidden="false" customHeight="false" outlineLevel="0" collapsed="false">
      <c r="A16" s="21" t="s">
        <v>166</v>
      </c>
    </row>
    <row r="17" customFormat="false" ht="15" hidden="false" customHeight="false" outlineLevel="0" collapsed="false">
      <c r="A17" s="34" t="s">
        <v>167</v>
      </c>
      <c r="B17" s="34"/>
      <c r="C17" s="34"/>
      <c r="D17" s="34"/>
      <c r="E17" s="34"/>
      <c r="F17" s="34"/>
      <c r="G17" s="34"/>
      <c r="H17" s="34"/>
      <c r="I17" s="34"/>
      <c r="J17" s="34"/>
    </row>
    <row r="18" customFormat="false" ht="15" hidden="false" customHeight="false" outlineLevel="0" collapsed="false">
      <c r="A18" s="34" t="s">
        <v>168</v>
      </c>
      <c r="B18" s="34"/>
      <c r="C18" s="34"/>
      <c r="D18" s="34"/>
      <c r="E18" s="34"/>
      <c r="F18" s="34"/>
      <c r="G18" s="34"/>
      <c r="H18" s="34"/>
      <c r="I18" s="34"/>
      <c r="J18" s="34"/>
    </row>
    <row r="19" customFormat="false" ht="15" hidden="false" customHeight="false" outlineLevel="0" collapsed="false">
      <c r="A19" s="34" t="s">
        <v>169</v>
      </c>
      <c r="B19" s="34"/>
      <c r="C19" s="34"/>
      <c r="D19" s="34"/>
      <c r="E19" s="34"/>
      <c r="F19" s="34"/>
      <c r="G19" s="34"/>
      <c r="H19" s="34"/>
      <c r="I19" s="34"/>
      <c r="J19" s="34"/>
    </row>
    <row r="20" customFormat="false" ht="15" hidden="false" customHeight="false" outlineLevel="0" collapsed="false">
      <c r="A20" s="34" t="s">
        <v>170</v>
      </c>
      <c r="B20" s="34"/>
      <c r="C20" s="34"/>
      <c r="D20" s="34"/>
      <c r="E20" s="34"/>
      <c r="F20" s="34"/>
      <c r="G20" s="34"/>
      <c r="H20" s="34"/>
      <c r="I20" s="34"/>
      <c r="J20" s="34"/>
    </row>
    <row r="21" customFormat="false" ht="15" hidden="false" customHeight="false" outlineLevel="0" collapsed="false">
      <c r="A21" s="34" t="s">
        <v>171</v>
      </c>
      <c r="B21" s="34"/>
      <c r="C21" s="34"/>
      <c r="D21" s="34"/>
      <c r="E21" s="34"/>
      <c r="F21" s="34"/>
      <c r="G21" s="34"/>
      <c r="H21" s="34"/>
      <c r="I21" s="34"/>
      <c r="J21" s="34"/>
    </row>
    <row r="23" customFormat="false" ht="15" hidden="false" customHeight="false" outlineLevel="0" collapsed="false">
      <c r="A23" s="21" t="s">
        <v>172</v>
      </c>
    </row>
    <row r="24" customFormat="false" ht="21.75" hidden="false" customHeight="true" outlineLevel="0" collapsed="false">
      <c r="A24" s="16" t="s">
        <v>46</v>
      </c>
      <c r="B24" s="16" t="s">
        <v>56</v>
      </c>
      <c r="C24" s="16" t="s">
        <v>173</v>
      </c>
      <c r="D24" s="16" t="s">
        <v>174</v>
      </c>
      <c r="E24" s="16" t="s">
        <v>175</v>
      </c>
      <c r="F24" s="16" t="s">
        <v>176</v>
      </c>
    </row>
    <row r="25" customFormat="false" ht="15" hidden="false" customHeight="false" outlineLevel="0" collapsed="false">
      <c r="A25" s="32" t="s">
        <v>57</v>
      </c>
      <c r="B25" s="32" t="n">
        <v>0</v>
      </c>
      <c r="C25" s="32" t="n">
        <v>747.2</v>
      </c>
      <c r="D25" s="32" t="n">
        <v>1962</v>
      </c>
      <c r="E25" s="32" t="n">
        <v>0.0961</v>
      </c>
      <c r="F25" s="32" t="n">
        <v>0.00084</v>
      </c>
    </row>
    <row r="26" customFormat="false" ht="15" hidden="false" customHeight="false" outlineLevel="0" collapsed="false">
      <c r="A26" s="32" t="s">
        <v>59</v>
      </c>
      <c r="B26" s="32" t="n">
        <v>0.5</v>
      </c>
      <c r="C26" s="32" t="n">
        <v>760.914</v>
      </c>
      <c r="D26" s="32" t="n">
        <v>1932.649</v>
      </c>
      <c r="E26" s="32" t="n">
        <v>0.097719</v>
      </c>
      <c r="F26" s="32" t="n">
        <v>0.0016929</v>
      </c>
    </row>
    <row r="27" customFormat="false" ht="15" hidden="false" customHeight="false" outlineLevel="0" collapsed="false">
      <c r="A27" s="32" t="s">
        <v>61</v>
      </c>
      <c r="B27" s="32" t="n">
        <v>1</v>
      </c>
      <c r="C27" s="32" t="n">
        <v>774.628</v>
      </c>
      <c r="D27" s="32" t="n">
        <v>1904.336</v>
      </c>
      <c r="E27" s="32" t="n">
        <v>0.099339</v>
      </c>
      <c r="F27" s="32" t="n">
        <v>0.0017158</v>
      </c>
    </row>
    <row r="28" customFormat="false" ht="15" hidden="false" customHeight="false" outlineLevel="0" collapsed="false">
      <c r="A28" s="32" t="s">
        <v>62</v>
      </c>
      <c r="B28" s="32" t="n">
        <v>2</v>
      </c>
      <c r="C28" s="32" t="n">
        <v>802.056</v>
      </c>
      <c r="D28" s="32" t="n">
        <v>1850.617</v>
      </c>
      <c r="E28" s="32" t="n">
        <v>0.102577</v>
      </c>
      <c r="F28" s="32" t="n">
        <v>0.0017911</v>
      </c>
    </row>
    <row r="29" customFormat="false" ht="15" hidden="false" customHeight="false" outlineLevel="0" collapsed="false">
      <c r="A29" s="32" t="s">
        <v>63</v>
      </c>
      <c r="B29" s="32" t="n">
        <v>0.5</v>
      </c>
      <c r="C29" s="32" t="n">
        <v>760.914</v>
      </c>
      <c r="D29" s="32" t="n">
        <v>1932.649</v>
      </c>
      <c r="E29" s="32" t="n">
        <v>0.097719</v>
      </c>
      <c r="F29" s="32" t="n">
        <v>0.0016929</v>
      </c>
    </row>
    <row r="30" customFormat="false" ht="15" hidden="false" customHeight="false" outlineLevel="0" collapsed="false">
      <c r="A30" s="32" t="s">
        <v>64</v>
      </c>
      <c r="B30" s="32" t="n">
        <v>1</v>
      </c>
      <c r="C30" s="32" t="n">
        <v>774.628</v>
      </c>
      <c r="D30" s="32" t="n">
        <v>1904.34</v>
      </c>
      <c r="E30" s="32" t="n">
        <v>0.09934</v>
      </c>
      <c r="F30" s="32" t="n">
        <v>0.0017158</v>
      </c>
    </row>
    <row r="31" customFormat="false" ht="15" hidden="false" customHeight="false" outlineLevel="0" collapsed="false">
      <c r="A31" s="32" t="s">
        <v>66</v>
      </c>
      <c r="B31" s="32" t="n">
        <v>2</v>
      </c>
      <c r="C31" s="32" t="n">
        <v>802.056</v>
      </c>
      <c r="D31" s="32" t="n">
        <v>1850.62</v>
      </c>
      <c r="E31" s="32" t="n">
        <v>0.102577</v>
      </c>
      <c r="F31" s="32" t="n">
        <v>0.0017911</v>
      </c>
    </row>
  </sheetData>
  <mergeCells count="5">
    <mergeCell ref="A17:J17"/>
    <mergeCell ref="A18:J18"/>
    <mergeCell ref="A19:J19"/>
    <mergeCell ref="A20:J20"/>
    <mergeCell ref="A21:J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3" style="0" width="15"/>
    <col collapsed="false" customWidth="true" hidden="false" outlineLevel="0" max="6" min="6" style="0" width="55"/>
    <col collapsed="false" customWidth="true" hidden="false" outlineLevel="0" max="7" min="7" style="0" width="15"/>
  </cols>
  <sheetData>
    <row r="1" customFormat="false" ht="17.35" hidden="false" customHeight="false" outlineLevel="0" collapsed="false">
      <c r="A1" s="14" t="s">
        <v>177</v>
      </c>
    </row>
    <row r="3" customFormat="false" ht="15" hidden="false" customHeight="false" outlineLevel="0" collapsed="false">
      <c r="A3" s="15" t="s">
        <v>178</v>
      </c>
      <c r="B3" s="15"/>
      <c r="C3" s="15"/>
      <c r="D3" s="15"/>
      <c r="E3" s="15"/>
      <c r="F3" s="15"/>
      <c r="G3" s="15"/>
      <c r="H3" s="15"/>
    </row>
    <row r="4" customFormat="false" ht="15" hidden="false" customHeight="false" outlineLevel="0" collapsed="false">
      <c r="A4" s="35" t="s">
        <v>179</v>
      </c>
      <c r="B4" s="35"/>
      <c r="C4" s="35"/>
      <c r="D4" s="35"/>
      <c r="E4" s="35"/>
      <c r="F4" s="35"/>
      <c r="G4" s="35"/>
      <c r="H4" s="35"/>
    </row>
    <row r="6" customFormat="false" ht="25.5" hidden="false" customHeight="true" outlineLevel="0" collapsed="false">
      <c r="A6" s="16" t="s">
        <v>46</v>
      </c>
      <c r="B6" s="16" t="s">
        <v>180</v>
      </c>
      <c r="C6" s="16" t="s">
        <v>181</v>
      </c>
      <c r="D6" s="16" t="s">
        <v>182</v>
      </c>
      <c r="E6" s="16" t="s">
        <v>183</v>
      </c>
      <c r="F6" s="16" t="s">
        <v>184</v>
      </c>
    </row>
    <row r="7" customFormat="false" ht="30" hidden="false" customHeight="true" outlineLevel="0" collapsed="false">
      <c r="A7" s="36" t="s">
        <v>57</v>
      </c>
      <c r="B7" s="36" t="n">
        <v>10000</v>
      </c>
      <c r="C7" s="36" t="n">
        <v>500</v>
      </c>
      <c r="D7" s="36" t="n">
        <v>0.163314</v>
      </c>
      <c r="E7" s="36" t="n">
        <v>9587.91</v>
      </c>
      <c r="F7" s="36" t="s">
        <v>185</v>
      </c>
    </row>
    <row r="8" customFormat="false" ht="30" hidden="false" customHeight="true" outlineLevel="0" collapsed="false">
      <c r="A8" s="36" t="s">
        <v>59</v>
      </c>
      <c r="B8" s="36" t="n">
        <v>10000</v>
      </c>
      <c r="C8" s="36" t="n">
        <v>500</v>
      </c>
      <c r="D8" s="36" t="n">
        <v>0.330917</v>
      </c>
      <c r="E8" s="36" t="n">
        <v>9816.57</v>
      </c>
      <c r="F8" s="36"/>
    </row>
    <row r="9" customFormat="false" ht="30" hidden="false" customHeight="true" outlineLevel="0" collapsed="false">
      <c r="A9" s="36" t="s">
        <v>61</v>
      </c>
      <c r="B9" s="36" t="n">
        <v>10000</v>
      </c>
      <c r="C9" s="36" t="n">
        <v>500</v>
      </c>
      <c r="D9" s="36" t="n">
        <v>0.335112</v>
      </c>
      <c r="E9" s="36" t="n">
        <v>9985.52</v>
      </c>
      <c r="F9" s="36"/>
    </row>
    <row r="10" customFormat="false" ht="30" hidden="false" customHeight="true" outlineLevel="0" collapsed="false">
      <c r="A10" s="36" t="s">
        <v>62</v>
      </c>
      <c r="B10" s="36" t="n">
        <v>10000</v>
      </c>
      <c r="C10" s="36" t="n">
        <v>500</v>
      </c>
      <c r="D10" s="36" t="n">
        <v>0.337792</v>
      </c>
      <c r="E10" s="36" t="n">
        <v>9983.4</v>
      </c>
      <c r="F10" s="36" t="s">
        <v>186</v>
      </c>
    </row>
    <row r="11" customFormat="false" ht="30" hidden="false" customHeight="true" outlineLevel="0" collapsed="false">
      <c r="A11" s="36" t="s">
        <v>63</v>
      </c>
      <c r="B11" s="36" t="n">
        <v>10000</v>
      </c>
      <c r="C11" s="36" t="n">
        <v>500</v>
      </c>
      <c r="D11" s="36" t="n">
        <v>0.336635</v>
      </c>
      <c r="E11" s="36" t="n">
        <v>9986.18</v>
      </c>
      <c r="F11" s="36"/>
    </row>
    <row r="12" customFormat="false" ht="30" hidden="false" customHeight="true" outlineLevel="0" collapsed="false">
      <c r="A12" s="36" t="s">
        <v>64</v>
      </c>
      <c r="B12" s="36" t="n">
        <v>10000</v>
      </c>
      <c r="C12" s="36" t="n">
        <v>500</v>
      </c>
      <c r="D12" s="36" t="n">
        <v>0.3355</v>
      </c>
      <c r="E12" s="36" t="s">
        <v>187</v>
      </c>
      <c r="F12" s="36" t="s">
        <v>188</v>
      </c>
    </row>
    <row r="13" customFormat="false" ht="30" hidden="false" customHeight="true" outlineLevel="0" collapsed="false">
      <c r="A13" s="36" t="s">
        <v>66</v>
      </c>
      <c r="B13" s="36" t="n">
        <v>10000</v>
      </c>
      <c r="C13" s="36" t="n">
        <v>500</v>
      </c>
      <c r="D13" s="36" t="n">
        <v>0.337819</v>
      </c>
      <c r="E13" s="36" t="n">
        <v>9984.2</v>
      </c>
      <c r="F13" s="36" t="s">
        <v>186</v>
      </c>
    </row>
    <row r="15" customFormat="false" ht="15" hidden="false" customHeight="false" outlineLevel="0" collapsed="false">
      <c r="A15" s="21" t="s">
        <v>189</v>
      </c>
    </row>
    <row r="16" customFormat="false" ht="18" hidden="false" customHeight="true" outlineLevel="0" collapsed="false">
      <c r="A16" s="34" t="s">
        <v>190</v>
      </c>
      <c r="B16" s="34"/>
      <c r="C16" s="34"/>
      <c r="D16" s="34"/>
      <c r="E16" s="34"/>
      <c r="F16" s="34"/>
      <c r="G16" s="34"/>
      <c r="H16" s="34"/>
    </row>
    <row r="18" customFormat="false" ht="19.5" hidden="false" customHeight="true" outlineLevel="0" collapsed="false">
      <c r="A18" s="16" t="s">
        <v>191</v>
      </c>
      <c r="B18" s="16" t="s">
        <v>192</v>
      </c>
      <c r="C18" s="16" t="s">
        <v>193</v>
      </c>
      <c r="D18" s="16" t="s">
        <v>194</v>
      </c>
      <c r="E18" s="16" t="s">
        <v>195</v>
      </c>
      <c r="F18" s="16" t="s">
        <v>196</v>
      </c>
      <c r="G18" s="16" t="s">
        <v>197</v>
      </c>
    </row>
    <row r="19" customFormat="false" ht="15" hidden="false" customHeight="false" outlineLevel="0" collapsed="false">
      <c r="A19" s="32" t="s">
        <v>198</v>
      </c>
      <c r="B19" s="32" t="n">
        <v>0</v>
      </c>
      <c r="C19" s="32" t="n">
        <v>680</v>
      </c>
      <c r="D19" s="32" t="n">
        <v>0</v>
      </c>
      <c r="E19" s="32" t="n">
        <v>0</v>
      </c>
      <c r="F19" s="32" t="n">
        <v>0</v>
      </c>
      <c r="G19" s="32" t="n">
        <v>0</v>
      </c>
    </row>
    <row r="20" customFormat="false" ht="15" hidden="false" customHeight="false" outlineLevel="0" collapsed="false">
      <c r="A20" s="32" t="s">
        <v>199</v>
      </c>
      <c r="B20" s="32" t="s">
        <v>200</v>
      </c>
      <c r="C20" s="32" t="s">
        <v>201</v>
      </c>
      <c r="D20" s="32" t="s">
        <v>202</v>
      </c>
      <c r="E20" s="32" t="s">
        <v>203</v>
      </c>
      <c r="F20" s="32" t="s">
        <v>204</v>
      </c>
      <c r="G20" s="32" t="s">
        <v>205</v>
      </c>
    </row>
    <row r="21" customFormat="false" ht="15" hidden="false" customHeight="false" outlineLevel="0" collapsed="false">
      <c r="A21" s="32" t="s">
        <v>206</v>
      </c>
      <c r="B21" s="32" t="s">
        <v>207</v>
      </c>
      <c r="C21" s="32" t="s">
        <v>208</v>
      </c>
      <c r="D21" s="32" t="s">
        <v>209</v>
      </c>
      <c r="E21" s="32" t="s">
        <v>210</v>
      </c>
      <c r="F21" s="32" t="s">
        <v>211</v>
      </c>
      <c r="G21" s="32" t="s">
        <v>212</v>
      </c>
    </row>
    <row r="23" customFormat="false" ht="15" hidden="false" customHeight="false" outlineLevel="0" collapsed="false">
      <c r="A23" s="21" t="s">
        <v>213</v>
      </c>
    </row>
    <row r="24" customFormat="false" ht="49.5" hidden="false" customHeight="true" outlineLevel="0" collapsed="false">
      <c r="A24" s="4" t="s">
        <v>214</v>
      </c>
      <c r="B24" s="4"/>
      <c r="C24" s="4"/>
      <c r="D24" s="4"/>
      <c r="E24" s="4"/>
      <c r="F24" s="4"/>
      <c r="G24" s="4"/>
      <c r="H24" s="4"/>
    </row>
    <row r="25" customFormat="false" ht="15" hidden="false" customHeight="false" outlineLevel="0" collapsed="false">
      <c r="A25" s="4"/>
      <c r="B25" s="4"/>
      <c r="C25" s="4"/>
      <c r="D25" s="4"/>
      <c r="E25" s="4"/>
      <c r="F25" s="4"/>
      <c r="G25" s="4"/>
      <c r="H25" s="4"/>
    </row>
    <row r="26" customFormat="false" ht="15" hidden="false" customHeight="false" outlineLevel="0" collapsed="false">
      <c r="A26" s="4"/>
      <c r="B26" s="4"/>
      <c r="C26" s="4"/>
      <c r="D26" s="4"/>
      <c r="E26" s="4"/>
      <c r="F26" s="4"/>
      <c r="G26" s="4"/>
      <c r="H26" s="4"/>
    </row>
    <row r="28" customFormat="false" ht="30" hidden="false" customHeight="true" outlineLevel="0" collapsed="false">
      <c r="A28" s="37" t="s">
        <v>215</v>
      </c>
      <c r="B28" s="37"/>
      <c r="C28" s="37"/>
      <c r="D28" s="37"/>
      <c r="E28" s="37"/>
      <c r="F28" s="37"/>
      <c r="G28" s="37"/>
      <c r="H28" s="37"/>
    </row>
    <row r="29" customFormat="false" ht="15" hidden="false" customHeight="false" outlineLevel="0" collapsed="false">
      <c r="A29" s="37"/>
      <c r="B29" s="37"/>
      <c r="C29" s="37"/>
      <c r="D29" s="37"/>
      <c r="E29" s="37"/>
      <c r="F29" s="37"/>
      <c r="G29" s="37"/>
      <c r="H29" s="37"/>
    </row>
  </sheetData>
  <mergeCells count="5">
    <mergeCell ref="A3:H3"/>
    <mergeCell ref="A4:H4"/>
    <mergeCell ref="A16:H16"/>
    <mergeCell ref="A24:H26"/>
    <mergeCell ref="A28: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13" min="2" style="0" width="16"/>
  </cols>
  <sheetData>
    <row r="1" customFormat="false" ht="17.35" hidden="false" customHeight="false" outlineLevel="0" collapsed="false">
      <c r="A1" s="14" t="s">
        <v>216</v>
      </c>
    </row>
    <row r="2" customFormat="false" ht="15" hidden="false" customHeight="false" outlineLevel="0" collapsed="false">
      <c r="A2" s="15" t="s">
        <v>217</v>
      </c>
      <c r="B2" s="15"/>
      <c r="C2" s="15"/>
      <c r="D2" s="15"/>
      <c r="E2" s="15"/>
      <c r="F2" s="15"/>
      <c r="G2" s="15"/>
      <c r="H2" s="15"/>
      <c r="I2" s="15"/>
      <c r="J2" s="15"/>
      <c r="K2" s="15"/>
      <c r="L2" s="15"/>
      <c r="M2" s="15"/>
    </row>
    <row r="4" customFormat="false" ht="31.5" hidden="false" customHeight="true" outlineLevel="0" collapsed="false">
      <c r="A4" s="16" t="s">
        <v>46</v>
      </c>
      <c r="B4" s="16" t="s">
        <v>218</v>
      </c>
      <c r="C4" s="16" t="s">
        <v>219</v>
      </c>
      <c r="D4" s="16" t="s">
        <v>220</v>
      </c>
      <c r="E4" s="16" t="s">
        <v>221</v>
      </c>
      <c r="F4" s="16" t="s">
        <v>222</v>
      </c>
      <c r="G4" s="16" t="s">
        <v>223</v>
      </c>
      <c r="H4" s="16" t="s">
        <v>224</v>
      </c>
      <c r="I4" s="16" t="s">
        <v>225</v>
      </c>
      <c r="J4" s="16" t="s">
        <v>226</v>
      </c>
      <c r="K4" s="16" t="s">
        <v>227</v>
      </c>
      <c r="L4" s="16" t="s">
        <v>228</v>
      </c>
      <c r="M4" s="16" t="s">
        <v>229</v>
      </c>
    </row>
    <row r="5" customFormat="false" ht="15" hidden="false" customHeight="false" outlineLevel="0" collapsed="false">
      <c r="A5" s="32" t="s">
        <v>57</v>
      </c>
      <c r="B5" s="38" t="n">
        <v>0.41748124</v>
      </c>
      <c r="C5" s="38" t="n">
        <v>0.41747989</v>
      </c>
      <c r="D5" s="38" t="n">
        <v>10.590583</v>
      </c>
      <c r="E5" s="38" t="n">
        <v>0</v>
      </c>
      <c r="F5" s="38" t="n">
        <v>500</v>
      </c>
      <c r="G5" s="38" t="n">
        <v>519.09171</v>
      </c>
      <c r="H5" s="38" t="n">
        <v>660.03433</v>
      </c>
      <c r="I5" s="38" t="n">
        <v>0.07788985</v>
      </c>
      <c r="J5" s="38" t="n">
        <v>35607.497</v>
      </c>
      <c r="K5" s="38" t="n">
        <v>16106.493</v>
      </c>
      <c r="L5" s="38" t="n">
        <v>0.072958528</v>
      </c>
      <c r="M5" s="38" t="n">
        <v>0.61857802</v>
      </c>
    </row>
    <row r="6" customFormat="false" ht="15" hidden="false" customHeight="false" outlineLevel="0" collapsed="false">
      <c r="A6" s="32" t="s">
        <v>59</v>
      </c>
      <c r="B6" s="38" t="n">
        <v>0.85275274</v>
      </c>
      <c r="C6" s="38" t="n">
        <v>0.85274808</v>
      </c>
      <c r="D6" s="38" t="n">
        <v>109.25306</v>
      </c>
      <c r="E6" s="38" t="n">
        <v>0</v>
      </c>
      <c r="F6" s="38" t="n">
        <v>500</v>
      </c>
      <c r="G6" s="38" t="n">
        <v>509.3496</v>
      </c>
      <c r="H6" s="38" t="n">
        <v>598.59308</v>
      </c>
      <c r="I6" s="38" t="n">
        <v>0.43263814</v>
      </c>
      <c r="J6" s="38" t="n">
        <v>35606.134</v>
      </c>
      <c r="K6" s="38" t="n">
        <v>15656.949</v>
      </c>
      <c r="L6" s="38" t="n">
        <v>0.07250699</v>
      </c>
      <c r="M6" s="38" t="n">
        <v>0.69737631</v>
      </c>
    </row>
    <row r="7" customFormat="false" ht="15" hidden="false" customHeight="false" outlineLevel="0" collapsed="false">
      <c r="A7" s="32" t="s">
        <v>61</v>
      </c>
      <c r="B7" s="38" t="n">
        <v>0.81956674</v>
      </c>
      <c r="C7" s="38" t="n">
        <v>0.81953926</v>
      </c>
      <c r="D7" s="38" t="n">
        <v>212.57862</v>
      </c>
      <c r="E7" s="38" t="n">
        <v>0</v>
      </c>
      <c r="F7" s="38" t="n">
        <v>500</v>
      </c>
      <c r="G7" s="38" t="n">
        <v>510.15269</v>
      </c>
      <c r="H7" s="38" t="n">
        <v>618.87187</v>
      </c>
      <c r="I7" s="38" t="n">
        <v>0.71498517</v>
      </c>
      <c r="J7" s="38" t="n">
        <v>35610.415</v>
      </c>
      <c r="K7" s="38" t="n">
        <v>15659.348</v>
      </c>
      <c r="L7" s="38" t="n">
        <v>0.046114454</v>
      </c>
      <c r="M7" s="38" t="n">
        <v>0.49609798</v>
      </c>
    </row>
    <row r="8" customFormat="false" ht="15" hidden="false" customHeight="false" outlineLevel="0" collapsed="false">
      <c r="A8" s="32" t="s">
        <v>62</v>
      </c>
      <c r="B8" s="39" t="n">
        <v>0.82919118</v>
      </c>
      <c r="C8" s="39" t="n">
        <v>1.5783349E+018</v>
      </c>
      <c r="D8" s="39" t="n">
        <v>2.6597209E+039</v>
      </c>
      <c r="E8" s="39" t="n">
        <v>-8.073603E+033</v>
      </c>
      <c r="F8" s="39" t="n">
        <v>500</v>
      </c>
      <c r="G8" s="39" t="n">
        <v>1070.2935</v>
      </c>
      <c r="H8" s="39" t="n">
        <v>907.11549</v>
      </c>
      <c r="I8" s="39" t="n">
        <v>2.6460385E+031</v>
      </c>
      <c r="J8" s="39" t="n">
        <v>35610.373</v>
      </c>
      <c r="K8" s="39" t="n">
        <v>15659.329</v>
      </c>
      <c r="L8" s="39" t="n">
        <v>22522845000000</v>
      </c>
      <c r="M8" s="39" t="n">
        <v>22972189000000000</v>
      </c>
    </row>
    <row r="9" customFormat="false" ht="15" hidden="false" customHeight="false" outlineLevel="0" collapsed="false">
      <c r="A9" s="32" t="s">
        <v>63</v>
      </c>
      <c r="B9" s="38" t="n">
        <v>0.85199436</v>
      </c>
      <c r="C9" s="38" t="n">
        <v>0.85202275</v>
      </c>
      <c r="D9" s="38" t="n">
        <v>128.01882</v>
      </c>
      <c r="E9" s="38" t="n">
        <v>0</v>
      </c>
      <c r="F9" s="38" t="n">
        <v>500</v>
      </c>
      <c r="G9" s="38" t="n">
        <v>509.55327</v>
      </c>
      <c r="H9" s="38" t="n">
        <v>636.55458</v>
      </c>
      <c r="I9" s="38" t="n">
        <v>0.55386734</v>
      </c>
      <c r="J9" s="38" t="n">
        <v>35606.134</v>
      </c>
      <c r="K9" s="38" t="n">
        <v>15656.949</v>
      </c>
      <c r="L9" s="38" t="n">
        <v>0.040340282</v>
      </c>
      <c r="M9" s="38" t="n">
        <v>0.49711385</v>
      </c>
    </row>
    <row r="10" customFormat="false" ht="15" hidden="false" customHeight="false" outlineLevel="0" collapsed="false">
      <c r="A10" s="32" t="s">
        <v>64</v>
      </c>
      <c r="B10" s="33" t="s">
        <v>230</v>
      </c>
      <c r="C10" s="33" t="s">
        <v>230</v>
      </c>
      <c r="D10" s="33" t="s">
        <v>230</v>
      </c>
      <c r="E10" s="33" t="s">
        <v>230</v>
      </c>
      <c r="F10" s="33" t="s">
        <v>230</v>
      </c>
      <c r="G10" s="33" t="s">
        <v>230</v>
      </c>
      <c r="H10" s="33" t="s">
        <v>230</v>
      </c>
      <c r="I10" s="33" t="s">
        <v>230</v>
      </c>
      <c r="J10" s="33" t="s">
        <v>230</v>
      </c>
      <c r="K10" s="33" t="s">
        <v>230</v>
      </c>
      <c r="L10" s="33" t="s">
        <v>230</v>
      </c>
      <c r="M10" s="33" t="s">
        <v>230</v>
      </c>
    </row>
    <row r="11" customFormat="false" ht="15" hidden="false" customHeight="false" outlineLevel="0" collapsed="false">
      <c r="A11" s="32" t="s">
        <v>66</v>
      </c>
      <c r="B11" s="39" t="n">
        <v>0.87599111</v>
      </c>
      <c r="C11" s="39" t="n">
        <v>1758631000000000</v>
      </c>
      <c r="D11" s="39" t="n">
        <v>2.7368531E+035</v>
      </c>
      <c r="E11" s="39" t="n">
        <v>-1.2680777E+033</v>
      </c>
      <c r="F11" s="39" t="n">
        <v>500</v>
      </c>
      <c r="G11" s="39" t="n">
        <v>300</v>
      </c>
      <c r="H11" s="39" t="n">
        <v>4924.9588</v>
      </c>
      <c r="I11" s="39" t="n">
        <v>4.0961628</v>
      </c>
      <c r="J11" s="39" t="n">
        <v>35606.134</v>
      </c>
      <c r="K11" s="39" t="n">
        <v>15656.949</v>
      </c>
      <c r="L11" s="39" t="n">
        <v>0.07377021</v>
      </c>
      <c r="M11" s="39" t="n">
        <v>1.1821866</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26"/>
    <col collapsed="false" customWidth="true" hidden="false" outlineLevel="0" max="3" min="3" style="0" width="32"/>
    <col collapsed="false" customWidth="true" hidden="false" outlineLevel="0" max="4" min="4" style="0" width="50"/>
    <col collapsed="false" customWidth="true" hidden="false" outlineLevel="0" max="5" min="5" style="0" width="14"/>
    <col collapsed="false" customWidth="true" hidden="false" outlineLevel="0" max="8" min="6" style="0" width="12"/>
    <col collapsed="false" customWidth="true" hidden="false" outlineLevel="0" max="9" min="9" style="0" width="16"/>
    <col collapsed="false" customWidth="true" hidden="false" outlineLevel="0" max="10" min="10" style="0" width="30"/>
  </cols>
  <sheetData>
    <row r="1" customFormat="false" ht="17.35" hidden="false" customHeight="false" outlineLevel="0" collapsed="false">
      <c r="A1" s="14" t="s">
        <v>231</v>
      </c>
    </row>
    <row r="2" customFormat="false" ht="15" hidden="false" customHeight="false" outlineLevel="0" collapsed="false">
      <c r="A2" s="15" t="s">
        <v>232</v>
      </c>
      <c r="B2" s="15"/>
      <c r="C2" s="15"/>
      <c r="D2" s="15"/>
      <c r="E2" s="15"/>
      <c r="F2" s="15"/>
      <c r="G2" s="15"/>
      <c r="H2" s="15"/>
      <c r="I2" s="15"/>
      <c r="J2" s="15"/>
      <c r="K2" s="15"/>
      <c r="L2" s="15"/>
    </row>
    <row r="4" customFormat="false" ht="25.5" hidden="false" customHeight="true" outlineLevel="0" collapsed="false">
      <c r="A4" s="16" t="s">
        <v>46</v>
      </c>
      <c r="B4" s="16" t="s">
        <v>233</v>
      </c>
      <c r="C4" s="16" t="s">
        <v>234</v>
      </c>
      <c r="D4" s="16" t="s">
        <v>235</v>
      </c>
      <c r="E4" s="16" t="s">
        <v>236</v>
      </c>
      <c r="F4" s="16" t="s">
        <v>237</v>
      </c>
      <c r="G4" s="16" t="s">
        <v>238</v>
      </c>
      <c r="H4" s="16" t="s">
        <v>239</v>
      </c>
      <c r="I4" s="16" t="s">
        <v>240</v>
      </c>
      <c r="J4" s="16" t="s">
        <v>241</v>
      </c>
    </row>
    <row r="5" customFormat="false" ht="25.5" hidden="false" customHeight="true" outlineLevel="0" collapsed="false">
      <c r="A5" s="36" t="s">
        <v>57</v>
      </c>
      <c r="B5" s="40" t="n">
        <v>162.502</v>
      </c>
      <c r="C5" s="40" t="s">
        <v>104</v>
      </c>
      <c r="D5" s="40" t="n">
        <v>0.0078168</v>
      </c>
      <c r="E5" s="40" t="n">
        <v>10.590583</v>
      </c>
      <c r="F5" s="40" t="s">
        <v>242</v>
      </c>
      <c r="G5" s="40" t="s">
        <v>243</v>
      </c>
      <c r="H5" s="40" t="s">
        <v>104</v>
      </c>
      <c r="I5" s="40" t="n">
        <v>0.00032</v>
      </c>
      <c r="J5" s="40" t="s">
        <v>244</v>
      </c>
    </row>
    <row r="6" customFormat="false" ht="25.5" hidden="false" customHeight="true" outlineLevel="0" collapsed="false">
      <c r="A6" s="36" t="s">
        <v>59</v>
      </c>
      <c r="B6" s="40" t="n">
        <v>256.058</v>
      </c>
      <c r="C6" s="40" t="s">
        <v>245</v>
      </c>
      <c r="D6" s="40" t="n">
        <v>0.0103844</v>
      </c>
      <c r="E6" s="40" t="n">
        <v>109.25306</v>
      </c>
      <c r="F6" s="40" t="s">
        <v>246</v>
      </c>
      <c r="G6" s="40" t="s">
        <v>247</v>
      </c>
      <c r="H6" s="40" t="n">
        <v>1.43338</v>
      </c>
      <c r="I6" s="40" t="n">
        <v>0.00055</v>
      </c>
      <c r="J6" s="40" t="s">
        <v>248</v>
      </c>
    </row>
    <row r="7" customFormat="false" ht="25.5" hidden="false" customHeight="true" outlineLevel="0" collapsed="false">
      <c r="A7" s="36" t="s">
        <v>61</v>
      </c>
      <c r="B7" s="40" t="n">
        <v>207.911</v>
      </c>
      <c r="C7" s="40" t="s">
        <v>249</v>
      </c>
      <c r="D7" s="40" t="n">
        <v>0.0164382</v>
      </c>
      <c r="E7" s="40" t="n">
        <v>212.57862</v>
      </c>
      <c r="F7" s="40" t="s">
        <v>250</v>
      </c>
      <c r="G7" s="40" t="s">
        <v>251</v>
      </c>
      <c r="H7" s="40" t="n">
        <v>0.99864</v>
      </c>
      <c r="I7" s="40" t="n">
        <v>0.00335</v>
      </c>
      <c r="J7" s="40" t="s">
        <v>252</v>
      </c>
    </row>
    <row r="8" customFormat="false" ht="25.5" hidden="false" customHeight="true" outlineLevel="0" collapsed="false">
      <c r="A8" s="41" t="s">
        <v>62</v>
      </c>
      <c r="B8" s="41" t="s">
        <v>253</v>
      </c>
      <c r="C8" s="41" t="s">
        <v>254</v>
      </c>
      <c r="D8" s="41" t="s">
        <v>255</v>
      </c>
      <c r="E8" s="41" t="s">
        <v>256</v>
      </c>
      <c r="F8" s="41" t="s">
        <v>254</v>
      </c>
      <c r="G8" s="41" t="s">
        <v>254</v>
      </c>
      <c r="H8" s="41" t="s">
        <v>257</v>
      </c>
      <c r="I8" s="41" t="s">
        <v>258</v>
      </c>
      <c r="J8" s="41" t="s">
        <v>259</v>
      </c>
    </row>
    <row r="9" customFormat="false" ht="25.5" hidden="false" customHeight="true" outlineLevel="0" collapsed="false">
      <c r="A9" s="36" t="s">
        <v>63</v>
      </c>
      <c r="B9" s="40" t="n">
        <v>182.493</v>
      </c>
      <c r="C9" s="40" t="s">
        <v>260</v>
      </c>
      <c r="D9" s="40" t="n">
        <v>0.0128464</v>
      </c>
      <c r="E9" s="40" t="n">
        <v>128.01882</v>
      </c>
      <c r="F9" s="40" t="s">
        <v>261</v>
      </c>
      <c r="G9" s="40" t="s">
        <v>262</v>
      </c>
      <c r="H9" s="40" t="n">
        <v>0.95163</v>
      </c>
      <c r="I9" s="40" t="n">
        <v>0.00333</v>
      </c>
      <c r="J9" s="40" t="s">
        <v>263</v>
      </c>
    </row>
    <row r="10" customFormat="false" ht="25.5" hidden="false" customHeight="true" outlineLevel="0" collapsed="false">
      <c r="A10" s="42" t="s">
        <v>64</v>
      </c>
      <c r="B10" s="42" t="s">
        <v>254</v>
      </c>
      <c r="C10" s="42" t="s">
        <v>254</v>
      </c>
      <c r="D10" s="42" t="s">
        <v>254</v>
      </c>
      <c r="E10" s="42" t="s">
        <v>254</v>
      </c>
      <c r="F10" s="42" t="s">
        <v>254</v>
      </c>
      <c r="G10" s="42" t="s">
        <v>254</v>
      </c>
      <c r="H10" s="42" t="s">
        <v>254</v>
      </c>
      <c r="I10" s="42" t="s">
        <v>254</v>
      </c>
      <c r="J10" s="42" t="s">
        <v>264</v>
      </c>
    </row>
    <row r="11" customFormat="false" ht="25.5" hidden="false" customHeight="true" outlineLevel="0" collapsed="false">
      <c r="A11" s="41" t="s">
        <v>66</v>
      </c>
      <c r="B11" s="41" t="s">
        <v>265</v>
      </c>
      <c r="C11" s="41" t="s">
        <v>254</v>
      </c>
      <c r="D11" s="41" t="s">
        <v>266</v>
      </c>
      <c r="E11" s="41" t="s">
        <v>267</v>
      </c>
      <c r="F11" s="41" t="s">
        <v>254</v>
      </c>
      <c r="G11" s="41" t="s">
        <v>254</v>
      </c>
      <c r="H11" s="41" t="s">
        <v>268</v>
      </c>
      <c r="I11" s="41" t="s">
        <v>269</v>
      </c>
      <c r="J11" s="41" t="s">
        <v>259</v>
      </c>
    </row>
    <row r="13" customFormat="false" ht="15" hidden="false" customHeight="false" outlineLevel="0" collapsed="false">
      <c r="A13" s="21" t="s">
        <v>270</v>
      </c>
    </row>
    <row r="14" customFormat="false" ht="24" hidden="false" customHeight="true" outlineLevel="0" collapsed="false">
      <c r="A14" s="16" t="s">
        <v>15</v>
      </c>
      <c r="B14" s="16" t="s">
        <v>271</v>
      </c>
      <c r="C14" s="16" t="s">
        <v>272</v>
      </c>
      <c r="D14" s="16" t="s">
        <v>273</v>
      </c>
    </row>
    <row r="15" customFormat="false" ht="39.75" hidden="false" customHeight="true" outlineLevel="0" collapsed="false">
      <c r="A15" s="23" t="s">
        <v>274</v>
      </c>
      <c r="B15" s="29" t="s">
        <v>275</v>
      </c>
      <c r="C15" s="29" t="s">
        <v>276</v>
      </c>
      <c r="D15" s="29" t="s">
        <v>277</v>
      </c>
    </row>
    <row r="16" customFormat="false" ht="39.75" hidden="false" customHeight="true" outlineLevel="0" collapsed="false">
      <c r="A16" s="23" t="s">
        <v>278</v>
      </c>
      <c r="B16" s="29" t="s">
        <v>22</v>
      </c>
      <c r="C16" s="29" t="s">
        <v>279</v>
      </c>
      <c r="D16" s="29" t="s">
        <v>280</v>
      </c>
    </row>
    <row r="17" customFormat="false" ht="39.75" hidden="false" customHeight="true" outlineLevel="0" collapsed="false">
      <c r="A17" s="23" t="s">
        <v>281</v>
      </c>
      <c r="B17" s="29" t="s">
        <v>282</v>
      </c>
      <c r="C17" s="29" t="s">
        <v>283</v>
      </c>
      <c r="D17" s="29" t="s">
        <v>284</v>
      </c>
    </row>
    <row r="18" customFormat="false" ht="39.75" hidden="false" customHeight="true" outlineLevel="0" collapsed="false">
      <c r="A18" s="23" t="s">
        <v>285</v>
      </c>
      <c r="B18" s="29" t="s">
        <v>286</v>
      </c>
      <c r="C18" s="29" t="s">
        <v>287</v>
      </c>
      <c r="D18" s="29" t="s">
        <v>288</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75"/>
  </cols>
  <sheetData>
    <row r="1" customFormat="false" ht="17.35" hidden="false" customHeight="false" outlineLevel="0" collapsed="false">
      <c r="A1" s="14" t="s">
        <v>289</v>
      </c>
    </row>
    <row r="2" customFormat="false" ht="18" hidden="false" customHeight="true" outlineLevel="0" collapsed="false">
      <c r="A2" s="15" t="s">
        <v>290</v>
      </c>
      <c r="B2" s="15"/>
      <c r="C2" s="15"/>
      <c r="D2" s="15"/>
    </row>
    <row r="4" customFormat="false" ht="21.75" hidden="false" customHeight="true" outlineLevel="0" collapsed="false">
      <c r="A4" s="16" t="s">
        <v>291</v>
      </c>
      <c r="B4" s="16" t="s">
        <v>292</v>
      </c>
      <c r="C4" s="16" t="s">
        <v>293</v>
      </c>
    </row>
    <row r="5" customFormat="false" ht="33.75" hidden="false" customHeight="true" outlineLevel="0" collapsed="false">
      <c r="A5" s="23" t="s">
        <v>274</v>
      </c>
      <c r="B5" s="23" t="s">
        <v>294</v>
      </c>
      <c r="C5" s="29" t="s">
        <v>295</v>
      </c>
    </row>
    <row r="6" customFormat="false" ht="33.75" hidden="false" customHeight="true" outlineLevel="0" collapsed="false">
      <c r="A6" s="23" t="s">
        <v>296</v>
      </c>
      <c r="B6" s="23" t="s">
        <v>297</v>
      </c>
      <c r="C6" s="29" t="s">
        <v>298</v>
      </c>
    </row>
    <row r="7" customFormat="false" ht="33.75" hidden="false" customHeight="true" outlineLevel="0" collapsed="false">
      <c r="A7" s="23" t="s">
        <v>21</v>
      </c>
      <c r="B7" s="23" t="s">
        <v>22</v>
      </c>
      <c r="C7" s="29" t="s">
        <v>299</v>
      </c>
    </row>
    <row r="8" customFormat="false" ht="33.75" hidden="false" customHeight="true" outlineLevel="0" collapsed="false">
      <c r="A8" s="23" t="s">
        <v>300</v>
      </c>
      <c r="B8" s="23" t="s">
        <v>301</v>
      </c>
      <c r="C8" s="29" t="s">
        <v>302</v>
      </c>
    </row>
    <row r="9" customFormat="false" ht="33.75" hidden="false" customHeight="true" outlineLevel="0" collapsed="false">
      <c r="A9" s="23" t="s">
        <v>303</v>
      </c>
      <c r="B9" s="23" t="s">
        <v>304</v>
      </c>
      <c r="C9" s="29" t="s">
        <v>305</v>
      </c>
    </row>
    <row r="10" customFormat="false" ht="33.75" hidden="false" customHeight="true" outlineLevel="0" collapsed="false">
      <c r="A10" s="23" t="s">
        <v>306</v>
      </c>
      <c r="B10" s="23" t="s">
        <v>307</v>
      </c>
      <c r="C10" s="29" t="s">
        <v>308</v>
      </c>
    </row>
    <row r="11" customFormat="false" ht="33.75" hidden="false" customHeight="true" outlineLevel="0" collapsed="false">
      <c r="A11" s="23" t="s">
        <v>309</v>
      </c>
      <c r="B11" s="23" t="s">
        <v>310</v>
      </c>
      <c r="C11" s="29" t="s">
        <v>311</v>
      </c>
    </row>
    <row r="12" customFormat="false" ht="33.75" hidden="false" customHeight="true" outlineLevel="0" collapsed="false">
      <c r="A12" s="23" t="s">
        <v>312</v>
      </c>
      <c r="B12" s="23" t="s">
        <v>313</v>
      </c>
      <c r="C12" s="29" t="s">
        <v>314</v>
      </c>
    </row>
    <row r="13" customFormat="false" ht="33.75" hidden="false" customHeight="true" outlineLevel="0" collapsed="false">
      <c r="A13" s="23" t="s">
        <v>30</v>
      </c>
      <c r="B13" s="23" t="s">
        <v>315</v>
      </c>
      <c r="C13" s="29" t="s">
        <v>316</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2026-08-23T08:56:45Z</dcterms:created>
  <dc:creator>openpyxl</dc:creator>
  <dc:description/>
  <dc:language>en-US</dc:language>
  <cp:lastModifiedBy/>
  <dcterms:modified xsi:type="dcterms:W3CDTF">2026-08-23T08:56:45Z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