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  <sheet name="Stage 1 - Pt Sweep (18 Runs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<sst xmlns="http://schemas.openxmlformats.org/spreadsheetml/2006/main" count="164" uniqueCount="130">
  <si>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</si>
  <si>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</si>
  <si>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</si>
  <si>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</si>
  <si>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</si>
  <si>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</si>
  <si>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</si>
  <si>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</si>
  <si>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</si>
  <si>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</si>
  <si>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</si>
  <si>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</si>
  <si>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</si>
  <si>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</si>
  <si>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</si>
  <si>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</si>
  <si>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</si>
  <si>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</si>
  <si>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</si>
  <si>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</si>
  <si>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</si>
  <si>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</si>
  <si>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</si>
  <si>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</si>
  <si>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</si>
  <si>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</si>
  <si>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</si>
  <si>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</si>
  <si>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</si>
  <si>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</si>
  <si>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</si>
  <si>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</si>
  <si>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</si>
  <si>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</si>
  <si>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</si>
  <si>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</si>
  <si>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</si>
  <si>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</si>
  <si>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</si>
  <si>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</si>
  <si>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</si>
  <si>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</si>
  <si>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</si>
  <si>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</si>
  <si>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</si>
  <si>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</si>
  <si>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</si>
  <si>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</si>
  <si>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</si>
  <si>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</si>
  <si>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</si>
  <si>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</si>
  <si>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</si>
  <si>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</si>
  <si>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</si>
  <si>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</si>
  <si>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</si>
  <si>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</si>
  <si>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</si>
  <si>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</si>
  <si>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</si>
  <si>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</si>
  <si>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</si>
  <si>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</si>
  <si>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</si>
  <si>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</si>
  <si>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</si>
  <si>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</si>
  <si>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</si>
  <si>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</si>
  <si>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</si>
  <si>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</si>
  <si>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</si>
  <si>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</si>
  <si>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</si>
  <si>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</si>
  <si>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</si>
  <si>
    <t xml:space="preserve">Stage 1 - Twist Pitch Ratio (Pt/dti) Sweep - 18 Runs (3 Pt levels x 6 Re points)</t>
  </si>
  <si>
    <t xml:space="preserve">Mirrors the senior's method: each geometry gets its own Nu/f/PEC curve across Re = 5000-30000 (6 points), not just one representative Re. Type raw Fluent report values into the YELLOW cells only. Black cells are formulas and recalculate automatically. Blue cells are locked run-plan inputs.</t>
  </si>
  <si>
    <t xml:space="preserve">Fixed constants (Stage 1: dpo/dpi held at Promoter-size Level 1, tp/dpo = 0.07)</t>
  </si>
  <si>
    <t xml:space="preserve">dti (tube ID)</t>
  </si>
  <si>
    <t xml:space="preserve">m</t>
  </si>
  <si>
    <t xml:space="preserve">Geometry Information sheet</t>
  </si>
  <si>
    <t xml:space="preserve">dto (tube OD)</t>
  </si>
  <si>
    <t xml:space="preserve">L (tube length)</t>
  </si>
  <si>
    <t xml:space="preserve">dpo (Level 1)</t>
  </si>
  <si>
    <t xml:space="preserve">Geometry Screening Plan, row 'Twist pitch, level 1-3'</t>
  </si>
  <si>
    <t xml:space="preserve">dpi (Level 1)</t>
  </si>
  <si>
    <t xml:space="preserve">A_annulus = PI()/4*(dti^2 - dpo^2)</t>
  </si>
  <si>
    <t xml:space="preserve">A_core = PI()/4*dpi^2</t>
  </si>
  <si>
    <t xml:space="preserve">A_total = A_annulus + A_core</t>
  </si>
  <si>
    <t xml:space="preserve">Syltherm-800 property polynomials (Table 5, Mohammed et al. 2022): psi = a + bT + cT^2 + dT^3 + eT^4</t>
  </si>
  <si>
    <t xml:space="preserve">Property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</si>
  <si>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</si>
  <si>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</si>
  <si>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</si>
  <si>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</si>
  <si>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</si>
  <si>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Density (kg/m3)</t>
  </si>
  <si>
    <t xml:space="preserve">Viscosity (Pa.s)</t>
  </si>
  <si>
    <t xml:space="preserve">Thermal conductivity (W/mK)</t>
  </si>
  <si>
    <t xml:space="preserve">Specific heat (J/kgK)</t>
  </si>
  <si>
    <t xml:space="preserve">Pt (mm)</t>
  </si>
  <si>
    <t xml:space="preserve">Re</t>
  </si>
  <si>
    <t xml:space="preserve">T_in (K)</t>
  </si>
  <si>
    <t xml:space="preserve">mdot_in (kg/s)</t>
  </si>
  <si>
    <t xml:space="preserve">mdot_out (kg/s)</t>
  </si>
  <si>
    <t xml:space="preserve">Mass bal err (%)</t>
  </si>
  <si>
    <t xml:space="preserve">p_in (Pa)</t>
  </si>
  <si>
    <t xml:space="preserve">p_out (Pa)</t>
  </si>
  <si>
    <t xml:space="preserve">dP (Pa)</t>
  </si>
  <si>
    <t xml:space="preserve">T_out (K)</t>
  </si>
  <si>
    <t xml:space="preserve">T_bulk_avg (K)</t>
  </si>
  <si>
    <t xml:space="preserve">T_wall_inner (K)</t>
  </si>
  <si>
    <t xml:space="preserve">dT (wall-bulk) (K)</t>
  </si>
  <si>
    <t xml:space="preserve">tau_wall (Pa)</t>
  </si>
  <si>
    <t xml:space="preserve">q_inner (W/m2)</t>
  </si>
  <si>
    <t xml:space="preserve">Q_total (W)</t>
  </si>
  <si>
    <t xml:space="preserve">rho_bulk (kg/m3)</t>
  </si>
  <si>
    <t xml:space="preserve">mu_bulk (Pa.s)</t>
  </si>
  <si>
    <t xml:space="preserve">k_bulk (W/mK)</t>
  </si>
  <si>
    <t xml:space="preserve">cp_bulk (J/kgK)</t>
  </si>
  <si>
    <t xml:space="preserve">u_m check (m/s)</t>
  </si>
  <si>
    <t xml:space="preserve">h (W/m2K)</t>
  </si>
  <si>
    <t xml:space="preserve">Nu</t>
  </si>
  <si>
    <t xml:space="preserve">f (Fanning)</t>
  </si>
  <si>
    <t xml:space="preserve">Element size (mm)</t>
  </si>
  <si>
    <t xml:space="preserve">Max Orth. Quality</t>
  </si>
  <si>
    <t xml:space="preserve">Min Orth. Quality</t>
  </si>
  <si>
    <t xml:space="preserve">Quality Flag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</si>
</sst>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;;;General"/>
    <numFmt numFmtId="167" formatCode="0.00"/>
    <numFmt numFmtId="168" formatCode="0.00000000"/>
    <numFmt numFmtId="169" formatCode="0.0000E+00"/>
    <numFmt numFmtId="170" formatCode="0.0000"/>
    <numFmt numFmtId="171" formatCode="0.000"/>
    <numFmt numFmtId="172" formatCode="0.000000"/>
    <numFmt numFmtId="173" formatCode="0.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9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1F4E78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4" min="13" style="1" width="16"/>
    <col collapsed="false" customWidth="true" hidden="false" outlineLevel="0" max="20" min="15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30"/>
  </cols>
  <sheetData>
    <row r="1" customFormat="false" ht="17.2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4" customFormat="false" ht="42" hidden="false" customHeight="true" outlineLevel="0" collapsed="false">
      <c r="A4" s="25" t="s">
        <v>44</v>
      </c>
      <c r="B4" s="25" t="s">
        <v>45</v>
      </c>
      <c r="C4" s="25" t="s">
        <v>46</v>
      </c>
      <c r="D4" s="25" t="s">
        <v>47</v>
      </c>
      <c r="E4" s="25" t="s">
        <v>48</v>
      </c>
      <c r="F4" s="25" t="s">
        <v>49</v>
      </c>
      <c r="G4" s="25" t="s">
        <v>50</v>
      </c>
      <c r="H4" s="25" t="s">
        <v>51</v>
      </c>
      <c r="I4" s="25" t="s">
        <v>52</v>
      </c>
      <c r="J4" s="25" t="s">
        <v>53</v>
      </c>
      <c r="K4" s="25" t="s">
        <v>54</v>
      </c>
      <c r="L4" s="25" t="s">
        <v>55</v>
      </c>
      <c r="M4" s="25" t="s">
        <v>56</v>
      </c>
      <c r="N4" s="25" t="s">
        <v>57</v>
      </c>
      <c r="O4" s="25" t="s">
        <v>58</v>
      </c>
      <c r="P4" s="25" t="s">
        <v>59</v>
      </c>
      <c r="Q4" s="25" t="s">
        <v>60</v>
      </c>
      <c r="R4" s="25" t="s">
        <v>61</v>
      </c>
      <c r="S4" s="25" t="s">
        <v>62</v>
      </c>
      <c r="T4" s="25" t="s">
        <v>63</v>
      </c>
      <c r="U4" s="25" t="s">
        <v>64</v>
      </c>
      <c r="V4" s="25" t="s">
        <v>65</v>
      </c>
      <c r="W4" s="25" t="s">
        <v>66</v>
      </c>
      <c r="X4" s="25" t="s">
        <v>67</v>
      </c>
    </row>
    <row r="5" customFormat="false" ht="15" hidden="false" customHeight="tru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6" t="s">
        <v>73</v>
      </c>
      <c r="I5" s="26" t="n">
        <v>0.006959</v>
      </c>
      <c r="J5" s="6" t="n">
        <v>15</v>
      </c>
      <c r="K5" s="6" t="n">
        <v>1.2</v>
      </c>
      <c r="L5" s="6" t="s">
        <v>74</v>
      </c>
      <c r="M5" s="26" t="s">
        <v>73</v>
      </c>
      <c r="N5" s="26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6" t="n">
        <v>0.01175</v>
      </c>
      <c r="W5" s="27" t="n">
        <f aca="false">V5/0.01</f>
        <v>1.175</v>
      </c>
      <c r="X5" s="28" t="str">
        <f aca="false">IF(V5&lt;0.01,"BELOW 0.01 BAR — check convergence before trusting this run","Clears 0.01 bar")</f>
        <v>Clears 0.01 bar</v>
      </c>
    </row>
    <row r="7" customFormat="false" ht="15" hidden="false" customHeight="true" outlineLevel="0" collapsed="false">
      <c r="A7" s="29" t="s">
        <v>75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customFormat="false" ht="15" hidden="false" customHeight="tru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7" min="5" style="0" width="11"/>
    <col collapsed="false" customWidth="true" hidden="false" outlineLevel="0" max="11" min="8" style="0" width="9"/>
    <col collapsed="false" customWidth="true" hidden="false" outlineLevel="0" max="12" min="12" style="0" width="11"/>
    <col collapsed="false" customWidth="true" hidden="false" outlineLevel="0" max="14" min="13" style="0" width="12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9" min="18" style="0" width="11"/>
    <col collapsed="false" customWidth="true" hidden="false" outlineLevel="0" max="20" min="20" style="0" width="10"/>
    <col collapsed="false" customWidth="true" hidden="false" outlineLevel="0" max="22" min="21" style="0" width="11"/>
    <col collapsed="false" customWidth="true" hidden="false" outlineLevel="0" max="23" min="23" style="0" width="9"/>
    <col collapsed="false" customWidth="true" hidden="false" outlineLevel="0" max="24" min="24" style="0" width="8"/>
    <col collapsed="false" customWidth="true" hidden="false" outlineLevel="0" max="25" min="25" style="0" width="9"/>
    <col collapsed="false" customWidth="true" hidden="false" outlineLevel="0" max="26" min="26" style="0" width="11"/>
    <col collapsed="false" customWidth="true" hidden="false" outlineLevel="0" max="28" min="27" style="0" width="9"/>
    <col collapsed="false" customWidth="true" hidden="false" outlineLevel="0" max="30" min="29" style="0" width="10"/>
    <col collapsed="false" customWidth="true" hidden="false" outlineLevel="0" max="32" min="31" style="0" width="12"/>
    <col collapsed="false" customWidth="true" hidden="false" outlineLevel="0" max="33" min="33" style="0" width="16"/>
  </cols>
  <sheetData>
    <row r="1" customFormat="false" ht="17.35" hidden="false" customHeight="false" outlineLevel="0" collapsed="false">
      <c r="A1" s="31" t="s">
        <v>77</v>
      </c>
    </row>
    <row r="2" customFormat="false" ht="30" hidden="false" customHeight="true" outlineLevel="0" collapsed="false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</row>
    <row r="4" customFormat="false" ht="15" hidden="false" customHeight="false" outlineLevel="0" collapsed="false">
      <c r="A4" s="33" t="s">
        <v>79</v>
      </c>
    </row>
    <row r="5" customFormat="false" ht="15" hidden="false" customHeight="false" outlineLevel="0" collapsed="false">
      <c r="A5" s="34" t="s">
        <v>80</v>
      </c>
      <c r="B5" s="35" t="s">
        <v>81</v>
      </c>
      <c r="C5" s="34" t="n">
        <v>0.066</v>
      </c>
      <c r="D5" s="36" t="s">
        <v>82</v>
      </c>
    </row>
    <row r="6" customFormat="false" ht="15" hidden="false" customHeight="false" outlineLevel="0" collapsed="false">
      <c r="A6" s="34" t="s">
        <v>83</v>
      </c>
      <c r="B6" s="35" t="s">
        <v>81</v>
      </c>
      <c r="C6" s="34" t="n">
        <v>0.07</v>
      </c>
      <c r="D6" s="36" t="s">
        <v>82</v>
      </c>
    </row>
    <row r="7" customFormat="false" ht="15" hidden="false" customHeight="false" outlineLevel="0" collapsed="false">
      <c r="A7" s="34" t="s">
        <v>84</v>
      </c>
      <c r="B7" s="35" t="s">
        <v>81</v>
      </c>
      <c r="C7" s="34" t="n">
        <v>2</v>
      </c>
      <c r="D7" s="36" t="s">
        <v>82</v>
      </c>
    </row>
    <row r="8" customFormat="false" ht="15" hidden="false" customHeight="false" outlineLevel="0" collapsed="false">
      <c r="A8" s="34" t="s">
        <v>85</v>
      </c>
      <c r="B8" s="35" t="s">
        <v>81</v>
      </c>
      <c r="C8" s="34" t="n">
        <v>0.015</v>
      </c>
      <c r="D8" s="36" t="s">
        <v>86</v>
      </c>
    </row>
    <row r="9" customFormat="false" ht="15" hidden="false" customHeight="false" outlineLevel="0" collapsed="false">
      <c r="A9" s="34" t="s">
        <v>87</v>
      </c>
      <c r="B9" s="35" t="s">
        <v>81</v>
      </c>
      <c r="C9" s="34" t="n">
        <v>0.0129</v>
      </c>
      <c r="D9" s="36" t="s">
        <v>86</v>
      </c>
    </row>
    <row r="11" customFormat="false" ht="15" hidden="false" customHeight="false" outlineLevel="0" collapsed="false">
      <c r="A11" s="35" t="s">
        <v>88</v>
      </c>
      <c r="C11" s="37" t="n">
        <f aca="false">PI()/4*($C$5^2-$C$8^2)</f>
        <v>0.00324447981299486</v>
      </c>
    </row>
    <row r="12" customFormat="false" ht="15" hidden="false" customHeight="false" outlineLevel="0" collapsed="false">
      <c r="A12" s="35" t="s">
        <v>89</v>
      </c>
      <c r="C12" s="37" t="n">
        <f aca="false">PI()/4*$C$9^2</f>
        <v>0.000130698108370969</v>
      </c>
    </row>
    <row r="13" customFormat="false" ht="15" hidden="false" customHeight="false" outlineLevel="0" collapsed="false">
      <c r="A13" s="33" t="s">
        <v>90</v>
      </c>
      <c r="C13" s="38" t="n">
        <f aca="false">C11+C12</f>
        <v>0.00337517792136583</v>
      </c>
    </row>
    <row r="15" customFormat="false" ht="15" hidden="false" customHeight="false" outlineLevel="0" collapsed="false">
      <c r="A15" s="33" t="s">
        <v>91</v>
      </c>
    </row>
    <row r="16" customFormat="false" ht="15" hidden="false" customHeight="false" outlineLevel="0" collapsed="false">
      <c r="A16" s="33" t="s">
        <v>92</v>
      </c>
      <c r="B16" s="33" t="s">
        <v>93</v>
      </c>
      <c r="C16" s="33" t="s">
        <v>94</v>
      </c>
      <c r="D16" s="33" t="s">
        <v>95</v>
      </c>
      <c r="E16" s="33" t="s">
        <v>96</v>
      </c>
      <c r="F16" s="33" t="s">
        <v>97</v>
      </c>
    </row>
    <row r="17" customFormat="false" ht="15" hidden="false" customHeight="false" outlineLevel="0" collapsed="false">
      <c r="A17" s="34" t="s">
        <v>98</v>
      </c>
      <c r="B17" s="39" t="n">
        <v>1105.7</v>
      </c>
      <c r="C17" s="39" t="n">
        <v>-0.41535</v>
      </c>
      <c r="D17" s="39" t="n">
        <v>-0.00060616</v>
      </c>
      <c r="E17" s="39" t="n">
        <v>0</v>
      </c>
      <c r="F17" s="39" t="n">
        <v>0</v>
      </c>
    </row>
    <row r="18" customFormat="false" ht="15" hidden="false" customHeight="false" outlineLevel="0" collapsed="false">
      <c r="A18" s="34" t="s">
        <v>99</v>
      </c>
      <c r="B18" s="39" t="n">
        <v>0.084866</v>
      </c>
      <c r="C18" s="39" t="n">
        <v>-0.00055412</v>
      </c>
      <c r="D18" s="39" t="n">
        <v>1.3882E-006</v>
      </c>
      <c r="E18" s="39" t="n">
        <v>-1.566E-009</v>
      </c>
      <c r="F18" s="39" t="n">
        <v>6.672E-013</v>
      </c>
    </row>
    <row r="19" customFormat="false" ht="15" hidden="false" customHeight="false" outlineLevel="0" collapsed="false">
      <c r="A19" s="34" t="s">
        <v>100</v>
      </c>
      <c r="B19" s="39" t="n">
        <v>0.19002</v>
      </c>
      <c r="C19" s="39" t="n">
        <v>-0.00018752</v>
      </c>
      <c r="D19" s="39" t="n">
        <v>-5.7534E-010</v>
      </c>
      <c r="E19" s="39" t="n">
        <v>0</v>
      </c>
      <c r="F19" s="39" t="n">
        <v>0</v>
      </c>
    </row>
    <row r="20" customFormat="false" ht="15" hidden="false" customHeight="false" outlineLevel="0" collapsed="false">
      <c r="A20" s="34" t="s">
        <v>101</v>
      </c>
      <c r="B20" s="39" t="n">
        <v>1107.8</v>
      </c>
      <c r="C20" s="39" t="n">
        <v>1.708</v>
      </c>
      <c r="D20" s="39" t="n">
        <v>0</v>
      </c>
      <c r="E20" s="39" t="n">
        <v>0</v>
      </c>
      <c r="F20" s="39" t="n">
        <v>0</v>
      </c>
    </row>
    <row r="23" customFormat="false" ht="31.5" hidden="false" customHeight="true" outlineLevel="0" collapsed="false">
      <c r="A23" s="40" t="s">
        <v>44</v>
      </c>
      <c r="B23" s="40" t="s">
        <v>102</v>
      </c>
      <c r="C23" s="40" t="s">
        <v>103</v>
      </c>
      <c r="D23" s="40" t="s">
        <v>104</v>
      </c>
      <c r="E23" s="40" t="s">
        <v>105</v>
      </c>
      <c r="F23" s="40" t="s">
        <v>106</v>
      </c>
      <c r="G23" s="40" t="s">
        <v>107</v>
      </c>
      <c r="H23" s="40" t="s">
        <v>108</v>
      </c>
      <c r="I23" s="40" t="s">
        <v>109</v>
      </c>
      <c r="J23" s="40" t="s">
        <v>110</v>
      </c>
      <c r="K23" s="40" t="s">
        <v>111</v>
      </c>
      <c r="L23" s="40" t="s">
        <v>112</v>
      </c>
      <c r="M23" s="40" t="s">
        <v>113</v>
      </c>
      <c r="N23" s="40" t="s">
        <v>114</v>
      </c>
      <c r="O23" s="40" t="s">
        <v>115</v>
      </c>
      <c r="P23" s="40" t="s">
        <v>116</v>
      </c>
      <c r="Q23" s="40" t="s">
        <v>117</v>
      </c>
      <c r="R23" s="40" t="s">
        <v>118</v>
      </c>
      <c r="S23" s="40" t="s">
        <v>119</v>
      </c>
      <c r="T23" s="40" t="s">
        <v>120</v>
      </c>
      <c r="U23" s="40" t="s">
        <v>121</v>
      </c>
      <c r="V23" s="40" t="s">
        <v>122</v>
      </c>
      <c r="W23" s="40" t="s">
        <v>123</v>
      </c>
      <c r="X23" s="40" t="s">
        <v>124</v>
      </c>
      <c r="Y23" s="40" t="s">
        <v>125</v>
      </c>
      <c r="Z23" s="40" t="s">
        <v>126</v>
      </c>
      <c r="AA23" s="40" t="s">
        <v>60</v>
      </c>
      <c r="AB23" s="40" t="s">
        <v>61</v>
      </c>
      <c r="AC23" s="40" t="s">
        <v>62</v>
      </c>
      <c r="AD23" s="40" t="s">
        <v>63</v>
      </c>
      <c r="AE23" s="40" t="s">
        <v>127</v>
      </c>
      <c r="AF23" s="40" t="s">
        <v>128</v>
      </c>
      <c r="AG23" s="40" t="s">
        <v>129</v>
      </c>
    </row>
    <row r="24" customFormat="false" ht="15" hidden="false" customHeight="false" outlineLevel="0" collapsed="false">
      <c r="A24" s="35" t="n">
        <v>1</v>
      </c>
      <c r="B24" s="34" t="n">
        <v>200</v>
      </c>
      <c r="C24" s="34" t="n">
        <v>5000</v>
      </c>
      <c r="D24" s="34" t="n">
        <v>500</v>
      </c>
      <c r="E24" s="41" t="n">
        <v>0.20524493</v>
      </c>
      <c r="F24" s="41" t="n">
        <v>-0.20524493</v>
      </c>
      <c r="G24" s="42" t="n">
        <f aca="false">IF(ISNUMBER(E24),ABS(E24+F24)/E24*100,"")</f>
        <v>0</v>
      </c>
      <c r="H24" s="41" t="n">
        <v>8.6026881</v>
      </c>
      <c r="I24" s="41" t="n">
        <v>0</v>
      </c>
      <c r="J24" s="42" t="n">
        <f aca="false">IF(AND(ISNUMBER(H24),ISNUMBER(I24)),H24-I24,"")</f>
        <v>8.6026881</v>
      </c>
      <c r="K24" s="41" t="n">
        <v>538.70755</v>
      </c>
      <c r="L24" s="43" t="n">
        <f aca="false">IF(AND(ISNUMBER(D24),ISNUMBER(K24)),AVERAGE(D24,K24),"")</f>
        <v>519.353775</v>
      </c>
      <c r="M24" s="41" t="n">
        <v>776.22613</v>
      </c>
      <c r="N24" s="43" t="n">
        <f aca="false">IF(AND(ISNUMBER(M24),ISNUMBER(L24)),M24-L24,"")</f>
        <v>256.872355</v>
      </c>
      <c r="O24" s="41" t="n">
        <v>0.036590281</v>
      </c>
      <c r="P24" s="41" t="n">
        <v>37764.874</v>
      </c>
      <c r="Q24" s="41" t="n">
        <v>15656.891</v>
      </c>
      <c r="R24" s="44" t="n">
        <f aca="false">IF(ISNUMBER(L24),$B$17+$C$17*L24+$D$17*L24^2+$E$17*L24^3+$F$17*L24^4,"")</f>
        <v>726.487876793082</v>
      </c>
      <c r="S24" s="45" t="n">
        <f aca="false">IF(ISNUMBER(L24),$B$18+$C$18*L24+$D$18*L24^2+$E$18*L24^3+$F$18*L24^4,"")</f>
        <v>0.000687404666314985</v>
      </c>
      <c r="T24" s="46" t="n">
        <f aca="false">IF(ISNUMBER(L24),$B$19+$C$19*L24+$D$19*L24^2+$E$19*L24^3+$F$19*L24^4,"")</f>
        <v>0.0924755946067893</v>
      </c>
      <c r="U24" s="43" t="n">
        <f aca="false">IF(ISNUMBER(L24),$B$20+$C$20*L24+$D$20*L24^2+$E$20*L24^3+$F$20*L24^4,"")</f>
        <v>1994.8562477</v>
      </c>
      <c r="V24" s="45" t="n">
        <f aca="false">IF(AND(ISNUMBER(E24),ISNUMBER(R24)),E24/(R24*$C$13),"")</f>
        <v>0.0837042279463237</v>
      </c>
      <c r="W24" s="43" t="n">
        <f aca="false">IF(AND(ISNUMBER(P24),ISNUMBER(N24),N24&lt;&gt;0),P24/N24,"")</f>
        <v>147.018054940167</v>
      </c>
      <c r="X24" s="43" t="n">
        <f aca="false">IF(AND(ISNUMBER(W24),ISNUMBER(T24),T24&lt;&gt;0),W24*$C$5/T24,"")</f>
        <v>104.92705310314</v>
      </c>
      <c r="Y24" s="46" t="n">
        <f aca="false">IF(AND(ISNUMBER(O24),ISNUMBER(R24),ISNUMBER(V24),V24&lt;&gt;0),2*O24/(R24*V24^2),"")</f>
        <v>0.0143771425545838</v>
      </c>
      <c r="Z24" s="41" t="n">
        <v>2.96</v>
      </c>
      <c r="AA24" s="41" t="n">
        <v>1587332</v>
      </c>
      <c r="AB24" s="41" t="n">
        <v>4301495</v>
      </c>
      <c r="AC24" s="41" t="n">
        <v>0.90002</v>
      </c>
      <c r="AD24" s="41" t="n">
        <v>1.0088E-005</v>
      </c>
      <c r="AE24" s="41" t="n">
        <v>0.99364</v>
      </c>
      <c r="AF24" s="41" t="n">
        <v>0.01175</v>
      </c>
      <c r="AG24" s="35" t="str">
        <f aca="false">IF(ISNUMBER(AF24),IF(AF24&lt;0.01,"BELOW 0.01 BAR","OK"),"")</f>
        <v>OK</v>
      </c>
    </row>
    <row r="25" customFormat="false" ht="15" hidden="false" customHeight="false" outlineLevel="0" collapsed="false">
      <c r="A25" s="35" t="n">
        <v>2</v>
      </c>
      <c r="B25" s="34" t="n">
        <v>200</v>
      </c>
      <c r="C25" s="34" t="n">
        <v>10000</v>
      </c>
      <c r="D25" s="34" t="n">
        <v>500</v>
      </c>
      <c r="E25" s="41"/>
      <c r="F25" s="41"/>
      <c r="G25" s="42" t="str">
        <f aca="false">IF(ISNUMBER(E25),ABS(E25+F25)/E25*100,"")</f>
        <v/>
      </c>
      <c r="H25" s="41"/>
      <c r="I25" s="41" t="n">
        <v>0</v>
      </c>
      <c r="J25" s="42" t="str">
        <f aca="false">IF(AND(ISNUMBER(H25),ISNUMBER(I25)),H25-I25,"")</f>
        <v/>
      </c>
      <c r="K25" s="41"/>
      <c r="L25" s="43" t="str">
        <f aca="false">IF(AND(ISNUMBER(D25),ISNUMBER(K25)),AVERAGE(D25,K25),"")</f>
        <v/>
      </c>
      <c r="M25" s="41"/>
      <c r="N25" s="43" t="str">
        <f aca="false">IF(AND(ISNUMBER(M25),ISNUMBER(L25)),M25-L25,"")</f>
        <v/>
      </c>
      <c r="O25" s="41"/>
      <c r="P25" s="41"/>
      <c r="Q25" s="41"/>
      <c r="R25" s="44" t="str">
        <f aca="false">IF(ISNUMBER(L25),$B$17+$C$17*L25+$D$17*L25^2+$E$17*L25^3+$F$17*L25^4,"")</f>
        <v/>
      </c>
      <c r="S25" s="45" t="str">
        <f aca="false">IF(ISNUMBER(L25),$B$18+$C$18*L25+$D$18*L25^2+$E$18*L25^3+$F$18*L25^4,"")</f>
        <v/>
      </c>
      <c r="T25" s="46" t="str">
        <f aca="false">IF(ISNUMBER(L25),$B$19+$C$19*L25+$D$19*L25^2+$E$19*L25^3+$F$19*L25^4,"")</f>
        <v/>
      </c>
      <c r="U25" s="43" t="str">
        <f aca="false">IF(ISNUMBER(L25),$B$20+$C$20*L25+$D$20*L25^2+$E$20*L25^3+$F$20*L25^4,"")</f>
        <v/>
      </c>
      <c r="V25" s="45" t="str">
        <f aca="false">IF(AND(ISNUMBER(E25),ISNUMBER(R25)),E25/(R25*$C$13),"")</f>
        <v/>
      </c>
      <c r="W25" s="43" t="str">
        <f aca="false">IF(AND(ISNUMBER(P25),ISNUMBER(N25),N25&lt;&gt;0),P25/N25,"")</f>
        <v/>
      </c>
      <c r="X25" s="43" t="str">
        <f aca="false">IF(AND(ISNUMBER(W25),ISNUMBER(T25),T25&lt;&gt;0),W25*$C$5/T25,"")</f>
        <v/>
      </c>
      <c r="Y25" s="46" t="str">
        <f aca="false">IF(AND(ISNUMBER(O25),ISNUMBER(R25),ISNUMBER(V25),V25&lt;&gt;0),2*O25/(R25*V25^2),"")</f>
        <v/>
      </c>
      <c r="Z25" s="41"/>
      <c r="AA25" s="41"/>
      <c r="AB25" s="41"/>
      <c r="AC25" s="41"/>
      <c r="AD25" s="41"/>
      <c r="AE25" s="41"/>
      <c r="AF25" s="41"/>
      <c r="AG25" s="35" t="str">
        <f aca="false">IF(ISNUMBER(AF25),IF(AF25&lt;0.01,"BELOW 0.01 BAR","OK"),"")</f>
        <v/>
      </c>
    </row>
    <row r="26" customFormat="false" ht="15" hidden="false" customHeight="false" outlineLevel="0" collapsed="false">
      <c r="A26" s="35" t="n">
        <v>3</v>
      </c>
      <c r="B26" s="34" t="n">
        <v>200</v>
      </c>
      <c r="C26" s="34" t="n">
        <v>15000</v>
      </c>
      <c r="D26" s="34" t="n">
        <v>500</v>
      </c>
      <c r="E26" s="41"/>
      <c r="F26" s="41"/>
      <c r="G26" s="42" t="str">
        <f aca="false">IF(ISNUMBER(E26),ABS(E26+F26)/E26*100,"")</f>
        <v/>
      </c>
      <c r="H26" s="41"/>
      <c r="I26" s="41" t="n">
        <v>0</v>
      </c>
      <c r="J26" s="42" t="str">
        <f aca="false">IF(AND(ISNUMBER(H26),ISNUMBER(I26)),H26-I26,"")</f>
        <v/>
      </c>
      <c r="K26" s="41"/>
      <c r="L26" s="43" t="str">
        <f aca="false">IF(AND(ISNUMBER(D26),ISNUMBER(K26)),AVERAGE(D26,K26),"")</f>
        <v/>
      </c>
      <c r="M26" s="41"/>
      <c r="N26" s="43" t="str">
        <f aca="false">IF(AND(ISNUMBER(M26),ISNUMBER(L26)),M26-L26,"")</f>
        <v/>
      </c>
      <c r="O26" s="41"/>
      <c r="P26" s="41"/>
      <c r="Q26" s="41"/>
      <c r="R26" s="44" t="str">
        <f aca="false">IF(ISNUMBER(L26),$B$17+$C$17*L26+$D$17*L26^2+$E$17*L26^3+$F$17*L26^4,"")</f>
        <v/>
      </c>
      <c r="S26" s="45" t="str">
        <f aca="false">IF(ISNUMBER(L26),$B$18+$C$18*L26+$D$18*L26^2+$E$18*L26^3+$F$18*L26^4,"")</f>
        <v/>
      </c>
      <c r="T26" s="46" t="str">
        <f aca="false">IF(ISNUMBER(L26),$B$19+$C$19*L26+$D$19*L26^2+$E$19*L26^3+$F$19*L26^4,"")</f>
        <v/>
      </c>
      <c r="U26" s="43" t="str">
        <f aca="false">IF(ISNUMBER(L26),$B$20+$C$20*L26+$D$20*L26^2+$E$20*L26^3+$F$20*L26^4,"")</f>
        <v/>
      </c>
      <c r="V26" s="45" t="str">
        <f aca="false">IF(AND(ISNUMBER(E26),ISNUMBER(R26)),E26/(R26*$C$13),"")</f>
        <v/>
      </c>
      <c r="W26" s="43" t="str">
        <f aca="false">IF(AND(ISNUMBER(P26),ISNUMBER(N26),N26&lt;&gt;0),P26/N26,"")</f>
        <v/>
      </c>
      <c r="X26" s="43" t="str">
        <f aca="false">IF(AND(ISNUMBER(W26),ISNUMBER(T26),T26&lt;&gt;0),W26*$C$5/T26,"")</f>
        <v/>
      </c>
      <c r="Y26" s="46" t="str">
        <f aca="false">IF(AND(ISNUMBER(O26),ISNUMBER(R26),ISNUMBER(V26),V26&lt;&gt;0),2*O26/(R26*V26^2),"")</f>
        <v/>
      </c>
      <c r="Z26" s="41"/>
      <c r="AA26" s="41"/>
      <c r="AB26" s="41"/>
      <c r="AC26" s="41"/>
      <c r="AD26" s="41"/>
      <c r="AE26" s="41"/>
      <c r="AF26" s="41"/>
      <c r="AG26" s="35" t="str">
        <f aca="false">IF(ISNUMBER(AF26),IF(AF26&lt;0.01,"BELOW 0.01 BAR","OK"),"")</f>
        <v/>
      </c>
    </row>
    <row r="27" customFormat="false" ht="15" hidden="false" customHeight="false" outlineLevel="0" collapsed="false">
      <c r="A27" s="35" t="n">
        <v>4</v>
      </c>
      <c r="B27" s="34" t="n">
        <v>200</v>
      </c>
      <c r="C27" s="34" t="n">
        <v>20000</v>
      </c>
      <c r="D27" s="34" t="n">
        <v>500</v>
      </c>
      <c r="E27" s="41"/>
      <c r="F27" s="41"/>
      <c r="G27" s="42" t="str">
        <f aca="false">IF(ISNUMBER(E27),ABS(E27+F27)/E27*100,"")</f>
        <v/>
      </c>
      <c r="H27" s="41"/>
      <c r="I27" s="41" t="n">
        <v>0</v>
      </c>
      <c r="J27" s="42" t="str">
        <f aca="false">IF(AND(ISNUMBER(H27),ISNUMBER(I27)),H27-I27,"")</f>
        <v/>
      </c>
      <c r="K27" s="41"/>
      <c r="L27" s="43" t="str">
        <f aca="false">IF(AND(ISNUMBER(D27),ISNUMBER(K27)),AVERAGE(D27,K27),"")</f>
        <v/>
      </c>
      <c r="M27" s="41"/>
      <c r="N27" s="43" t="str">
        <f aca="false">IF(AND(ISNUMBER(M27),ISNUMBER(L27)),M27-L27,"")</f>
        <v/>
      </c>
      <c r="O27" s="41"/>
      <c r="P27" s="41"/>
      <c r="Q27" s="41"/>
      <c r="R27" s="44" t="str">
        <f aca="false">IF(ISNUMBER(L27),$B$17+$C$17*L27+$D$17*L27^2+$E$17*L27^3+$F$17*L27^4,"")</f>
        <v/>
      </c>
      <c r="S27" s="45" t="str">
        <f aca="false">IF(ISNUMBER(L27),$B$18+$C$18*L27+$D$18*L27^2+$E$18*L27^3+$F$18*L27^4,"")</f>
        <v/>
      </c>
      <c r="T27" s="46" t="str">
        <f aca="false">IF(ISNUMBER(L27),$B$19+$C$19*L27+$D$19*L27^2+$E$19*L27^3+$F$19*L27^4,"")</f>
        <v/>
      </c>
      <c r="U27" s="43" t="str">
        <f aca="false">IF(ISNUMBER(L27),$B$20+$C$20*L27+$D$20*L27^2+$E$20*L27^3+$F$20*L27^4,"")</f>
        <v/>
      </c>
      <c r="V27" s="45" t="str">
        <f aca="false">IF(AND(ISNUMBER(E27),ISNUMBER(R27)),E27/(R27*$C$13),"")</f>
        <v/>
      </c>
      <c r="W27" s="43" t="str">
        <f aca="false">IF(AND(ISNUMBER(P27),ISNUMBER(N27),N27&lt;&gt;0),P27/N27,"")</f>
        <v/>
      </c>
      <c r="X27" s="43" t="str">
        <f aca="false">IF(AND(ISNUMBER(W27),ISNUMBER(T27),T27&lt;&gt;0),W27*$C$5/T27,"")</f>
        <v/>
      </c>
      <c r="Y27" s="46" t="str">
        <f aca="false">IF(AND(ISNUMBER(O27),ISNUMBER(R27),ISNUMBER(V27),V27&lt;&gt;0),2*O27/(R27*V27^2),"")</f>
        <v/>
      </c>
      <c r="Z27" s="41"/>
      <c r="AA27" s="41"/>
      <c r="AB27" s="41"/>
      <c r="AC27" s="41"/>
      <c r="AD27" s="41"/>
      <c r="AE27" s="41"/>
      <c r="AF27" s="41"/>
      <c r="AG27" s="35" t="str">
        <f aca="false">IF(ISNUMBER(AF27),IF(AF27&lt;0.01,"BELOW 0.01 BAR","OK"),"")</f>
        <v/>
      </c>
    </row>
    <row r="28" customFormat="false" ht="15" hidden="false" customHeight="false" outlineLevel="0" collapsed="false">
      <c r="A28" s="35" t="n">
        <v>5</v>
      </c>
      <c r="B28" s="34" t="n">
        <v>200</v>
      </c>
      <c r="C28" s="34" t="n">
        <v>25000</v>
      </c>
      <c r="D28" s="34" t="n">
        <v>500</v>
      </c>
      <c r="E28" s="41"/>
      <c r="F28" s="41"/>
      <c r="G28" s="42" t="str">
        <f aca="false">IF(ISNUMBER(E28),ABS(E28+F28)/E28*100,"")</f>
        <v/>
      </c>
      <c r="H28" s="41"/>
      <c r="I28" s="41" t="n">
        <v>0</v>
      </c>
      <c r="J28" s="42" t="str">
        <f aca="false">IF(AND(ISNUMBER(H28),ISNUMBER(I28)),H28-I28,"")</f>
        <v/>
      </c>
      <c r="K28" s="41"/>
      <c r="L28" s="43" t="str">
        <f aca="false">IF(AND(ISNUMBER(D28),ISNUMBER(K28)),AVERAGE(D28,K28),"")</f>
        <v/>
      </c>
      <c r="M28" s="41"/>
      <c r="N28" s="43" t="str">
        <f aca="false">IF(AND(ISNUMBER(M28),ISNUMBER(L28)),M28-L28,"")</f>
        <v/>
      </c>
      <c r="O28" s="41"/>
      <c r="P28" s="41"/>
      <c r="Q28" s="41"/>
      <c r="R28" s="44" t="str">
        <f aca="false">IF(ISNUMBER(L28),$B$17+$C$17*L28+$D$17*L28^2+$E$17*L28^3+$F$17*L28^4,"")</f>
        <v/>
      </c>
      <c r="S28" s="45" t="str">
        <f aca="false">IF(ISNUMBER(L28),$B$18+$C$18*L28+$D$18*L28^2+$E$18*L28^3+$F$18*L28^4,"")</f>
        <v/>
      </c>
      <c r="T28" s="46" t="str">
        <f aca="false">IF(ISNUMBER(L28),$B$19+$C$19*L28+$D$19*L28^2+$E$19*L28^3+$F$19*L28^4,"")</f>
        <v/>
      </c>
      <c r="U28" s="43" t="str">
        <f aca="false">IF(ISNUMBER(L28),$B$20+$C$20*L28+$D$20*L28^2+$E$20*L28^3+$F$20*L28^4,"")</f>
        <v/>
      </c>
      <c r="V28" s="45" t="str">
        <f aca="false">IF(AND(ISNUMBER(E28),ISNUMBER(R28)),E28/(R28*$C$13),"")</f>
        <v/>
      </c>
      <c r="W28" s="43" t="str">
        <f aca="false">IF(AND(ISNUMBER(P28),ISNUMBER(N28),N28&lt;&gt;0),P28/N28,"")</f>
        <v/>
      </c>
      <c r="X28" s="43" t="str">
        <f aca="false">IF(AND(ISNUMBER(W28),ISNUMBER(T28),T28&lt;&gt;0),W28*$C$5/T28,"")</f>
        <v/>
      </c>
      <c r="Y28" s="46" t="str">
        <f aca="false">IF(AND(ISNUMBER(O28),ISNUMBER(R28),ISNUMBER(V28),V28&lt;&gt;0),2*O28/(R28*V28^2),"")</f>
        <v/>
      </c>
      <c r="Z28" s="41"/>
      <c r="AA28" s="41"/>
      <c r="AB28" s="41"/>
      <c r="AC28" s="41"/>
      <c r="AD28" s="41"/>
      <c r="AE28" s="41"/>
      <c r="AF28" s="41"/>
      <c r="AG28" s="35" t="str">
        <f aca="false">IF(ISNUMBER(AF28),IF(AF28&lt;0.01,"BELOW 0.01 BAR","OK"),"")</f>
        <v/>
      </c>
    </row>
    <row r="29" customFormat="false" ht="15" hidden="false" customHeight="false" outlineLevel="0" collapsed="false">
      <c r="A29" s="35" t="n">
        <v>6</v>
      </c>
      <c r="B29" s="34" t="n">
        <v>200</v>
      </c>
      <c r="C29" s="34" t="n">
        <v>30000</v>
      </c>
      <c r="D29" s="34" t="n">
        <v>500</v>
      </c>
      <c r="E29" s="41"/>
      <c r="F29" s="41"/>
      <c r="G29" s="42" t="str">
        <f aca="false">IF(ISNUMBER(E29),ABS(E29+F29)/E29*100,"")</f>
        <v/>
      </c>
      <c r="H29" s="41"/>
      <c r="I29" s="41" t="n">
        <v>0</v>
      </c>
      <c r="J29" s="42" t="str">
        <f aca="false">IF(AND(ISNUMBER(H29),ISNUMBER(I29)),H29-I29,"")</f>
        <v/>
      </c>
      <c r="K29" s="41"/>
      <c r="L29" s="43" t="str">
        <f aca="false">IF(AND(ISNUMBER(D29),ISNUMBER(K29)),AVERAGE(D29,K29),"")</f>
        <v/>
      </c>
      <c r="M29" s="41"/>
      <c r="N29" s="43" t="str">
        <f aca="false">IF(AND(ISNUMBER(M29),ISNUMBER(L29)),M29-L29,"")</f>
        <v/>
      </c>
      <c r="O29" s="41"/>
      <c r="P29" s="41"/>
      <c r="Q29" s="41"/>
      <c r="R29" s="44" t="str">
        <f aca="false">IF(ISNUMBER(L29),$B$17+$C$17*L29+$D$17*L29^2+$E$17*L29^3+$F$17*L29^4,"")</f>
        <v/>
      </c>
      <c r="S29" s="45" t="str">
        <f aca="false">IF(ISNUMBER(L29),$B$18+$C$18*L29+$D$18*L29^2+$E$18*L29^3+$F$18*L29^4,"")</f>
        <v/>
      </c>
      <c r="T29" s="46" t="str">
        <f aca="false">IF(ISNUMBER(L29),$B$19+$C$19*L29+$D$19*L29^2+$E$19*L29^3+$F$19*L29^4,"")</f>
        <v/>
      </c>
      <c r="U29" s="43" t="str">
        <f aca="false">IF(ISNUMBER(L29),$B$20+$C$20*L29+$D$20*L29^2+$E$20*L29^3+$F$20*L29^4,"")</f>
        <v/>
      </c>
      <c r="V29" s="45" t="str">
        <f aca="false">IF(AND(ISNUMBER(E29),ISNUMBER(R29)),E29/(R29*$C$13),"")</f>
        <v/>
      </c>
      <c r="W29" s="43" t="str">
        <f aca="false">IF(AND(ISNUMBER(P29),ISNUMBER(N29),N29&lt;&gt;0),P29/N29,"")</f>
        <v/>
      </c>
      <c r="X29" s="43" t="str">
        <f aca="false">IF(AND(ISNUMBER(W29),ISNUMBER(T29),T29&lt;&gt;0),W29*$C$5/T29,"")</f>
        <v/>
      </c>
      <c r="Y29" s="46" t="str">
        <f aca="false">IF(AND(ISNUMBER(O29),ISNUMBER(R29),ISNUMBER(V29),V29&lt;&gt;0),2*O29/(R29*V29^2),"")</f>
        <v/>
      </c>
      <c r="Z29" s="41"/>
      <c r="AA29" s="41"/>
      <c r="AB29" s="41"/>
      <c r="AC29" s="41"/>
      <c r="AD29" s="41"/>
      <c r="AE29" s="41"/>
      <c r="AF29" s="41"/>
      <c r="AG29" s="35" t="str">
        <f aca="false">IF(ISNUMBER(AF29),IF(AF29&lt;0.01,"BELOW 0.01 BAR","OK"),"")</f>
        <v/>
      </c>
    </row>
    <row r="30" customFormat="false" ht="15" hidden="false" customHeight="false" outlineLevel="0" collapsed="false">
      <c r="A30" s="35" t="n">
        <v>7</v>
      </c>
      <c r="B30" s="34" t="n">
        <v>300</v>
      </c>
      <c r="C30" s="34" t="n">
        <v>5000</v>
      </c>
      <c r="D30" s="34" t="n">
        <v>500</v>
      </c>
      <c r="E30" s="41"/>
      <c r="F30" s="41"/>
      <c r="G30" s="42" t="str">
        <f aca="false">IF(ISNUMBER(E30),ABS(E30+F30)/E30*100,"")</f>
        <v/>
      </c>
      <c r="H30" s="41"/>
      <c r="I30" s="41" t="n">
        <v>0</v>
      </c>
      <c r="J30" s="42" t="str">
        <f aca="false">IF(AND(ISNUMBER(H30),ISNUMBER(I30)),H30-I30,"")</f>
        <v/>
      </c>
      <c r="K30" s="41"/>
      <c r="L30" s="43" t="str">
        <f aca="false">IF(AND(ISNUMBER(D30),ISNUMBER(K30)),AVERAGE(D30,K30),"")</f>
        <v/>
      </c>
      <c r="M30" s="41"/>
      <c r="N30" s="43" t="str">
        <f aca="false">IF(AND(ISNUMBER(M30),ISNUMBER(L30)),M30-L30,"")</f>
        <v/>
      </c>
      <c r="O30" s="41"/>
      <c r="P30" s="41"/>
      <c r="Q30" s="41"/>
      <c r="R30" s="44" t="str">
        <f aca="false">IF(ISNUMBER(L30),$B$17+$C$17*L30+$D$17*L30^2+$E$17*L30^3+$F$17*L30^4,"")</f>
        <v/>
      </c>
      <c r="S30" s="45" t="str">
        <f aca="false">IF(ISNUMBER(L30),$B$18+$C$18*L30+$D$18*L30^2+$E$18*L30^3+$F$18*L30^4,"")</f>
        <v/>
      </c>
      <c r="T30" s="46" t="str">
        <f aca="false">IF(ISNUMBER(L30),$B$19+$C$19*L30+$D$19*L30^2+$E$19*L30^3+$F$19*L30^4,"")</f>
        <v/>
      </c>
      <c r="U30" s="43" t="str">
        <f aca="false">IF(ISNUMBER(L30),$B$20+$C$20*L30+$D$20*L30^2+$E$20*L30^3+$F$20*L30^4,"")</f>
        <v/>
      </c>
      <c r="V30" s="45" t="str">
        <f aca="false">IF(AND(ISNUMBER(E30),ISNUMBER(R30)),E30/(R30*$C$13),"")</f>
        <v/>
      </c>
      <c r="W30" s="43" t="str">
        <f aca="false">IF(AND(ISNUMBER(P30),ISNUMBER(N30),N30&lt;&gt;0),P30/N30,"")</f>
        <v/>
      </c>
      <c r="X30" s="43" t="str">
        <f aca="false">IF(AND(ISNUMBER(W30),ISNUMBER(T30),T30&lt;&gt;0),W30*$C$5/T30,"")</f>
        <v/>
      </c>
      <c r="Y30" s="46" t="str">
        <f aca="false">IF(AND(ISNUMBER(O30),ISNUMBER(R30),ISNUMBER(V30),V30&lt;&gt;0),2*O30/(R30*V30^2),"")</f>
        <v/>
      </c>
      <c r="Z30" s="41"/>
      <c r="AA30" s="41"/>
      <c r="AB30" s="41"/>
      <c r="AC30" s="41"/>
      <c r="AD30" s="41"/>
      <c r="AE30" s="41"/>
      <c r="AF30" s="41"/>
      <c r="AG30" s="35" t="str">
        <f aca="false">IF(ISNUMBER(AF30),IF(AF30&lt;0.01,"BELOW 0.01 BAR","OK"),"")</f>
        <v/>
      </c>
    </row>
    <row r="31" customFormat="false" ht="15" hidden="false" customHeight="false" outlineLevel="0" collapsed="false">
      <c r="A31" s="35" t="n">
        <v>8</v>
      </c>
      <c r="B31" s="34" t="n">
        <v>300</v>
      </c>
      <c r="C31" s="34" t="n">
        <v>10000</v>
      </c>
      <c r="D31" s="34" t="n">
        <v>500</v>
      </c>
      <c r="E31" s="41"/>
      <c r="F31" s="41"/>
      <c r="G31" s="42" t="str">
        <f aca="false">IF(ISNUMBER(E31),ABS(E31+F31)/E31*100,"")</f>
        <v/>
      </c>
      <c r="H31" s="41"/>
      <c r="I31" s="41" t="n">
        <v>0</v>
      </c>
      <c r="J31" s="42" t="str">
        <f aca="false">IF(AND(ISNUMBER(H31),ISNUMBER(I31)),H31-I31,"")</f>
        <v/>
      </c>
      <c r="K31" s="41"/>
      <c r="L31" s="43" t="str">
        <f aca="false">IF(AND(ISNUMBER(D31),ISNUMBER(K31)),AVERAGE(D31,K31),"")</f>
        <v/>
      </c>
      <c r="M31" s="41"/>
      <c r="N31" s="43" t="str">
        <f aca="false">IF(AND(ISNUMBER(M31),ISNUMBER(L31)),M31-L31,"")</f>
        <v/>
      </c>
      <c r="O31" s="41"/>
      <c r="P31" s="41"/>
      <c r="Q31" s="41"/>
      <c r="R31" s="44" t="str">
        <f aca="false">IF(ISNUMBER(L31),$B$17+$C$17*L31+$D$17*L31^2+$E$17*L31^3+$F$17*L31^4,"")</f>
        <v/>
      </c>
      <c r="S31" s="45" t="str">
        <f aca="false">IF(ISNUMBER(L31),$B$18+$C$18*L31+$D$18*L31^2+$E$18*L31^3+$F$18*L31^4,"")</f>
        <v/>
      </c>
      <c r="T31" s="46" t="str">
        <f aca="false">IF(ISNUMBER(L31),$B$19+$C$19*L31+$D$19*L31^2+$E$19*L31^3+$F$19*L31^4,"")</f>
        <v/>
      </c>
      <c r="U31" s="43" t="str">
        <f aca="false">IF(ISNUMBER(L31),$B$20+$C$20*L31+$D$20*L31^2+$E$20*L31^3+$F$20*L31^4,"")</f>
        <v/>
      </c>
      <c r="V31" s="45" t="str">
        <f aca="false">IF(AND(ISNUMBER(E31),ISNUMBER(R31)),E31/(R31*$C$13),"")</f>
        <v/>
      </c>
      <c r="W31" s="43" t="str">
        <f aca="false">IF(AND(ISNUMBER(P31),ISNUMBER(N31),N31&lt;&gt;0),P31/N31,"")</f>
        <v/>
      </c>
      <c r="X31" s="43" t="str">
        <f aca="false">IF(AND(ISNUMBER(W31),ISNUMBER(T31),T31&lt;&gt;0),W31*$C$5/T31,"")</f>
        <v/>
      </c>
      <c r="Y31" s="46" t="str">
        <f aca="false">IF(AND(ISNUMBER(O31),ISNUMBER(R31),ISNUMBER(V31),V31&lt;&gt;0),2*O31/(R31*V31^2),"")</f>
        <v/>
      </c>
      <c r="Z31" s="41"/>
      <c r="AA31" s="41"/>
      <c r="AB31" s="41"/>
      <c r="AC31" s="41"/>
      <c r="AD31" s="41"/>
      <c r="AE31" s="41"/>
      <c r="AF31" s="41"/>
      <c r="AG31" s="35" t="str">
        <f aca="false">IF(ISNUMBER(AF31),IF(AF31&lt;0.01,"BELOW 0.01 BAR","OK"),"")</f>
        <v/>
      </c>
    </row>
    <row r="32" customFormat="false" ht="15" hidden="false" customHeight="false" outlineLevel="0" collapsed="false">
      <c r="A32" s="35" t="n">
        <v>9</v>
      </c>
      <c r="B32" s="34" t="n">
        <v>300</v>
      </c>
      <c r="C32" s="34" t="n">
        <v>15000</v>
      </c>
      <c r="D32" s="34" t="n">
        <v>500</v>
      </c>
      <c r="E32" s="41"/>
      <c r="F32" s="41"/>
      <c r="G32" s="42" t="str">
        <f aca="false">IF(ISNUMBER(E32),ABS(E32+F32)/E32*100,"")</f>
        <v/>
      </c>
      <c r="H32" s="41"/>
      <c r="I32" s="41" t="n">
        <v>0</v>
      </c>
      <c r="J32" s="42" t="str">
        <f aca="false">IF(AND(ISNUMBER(H32),ISNUMBER(I32)),H32-I32,"")</f>
        <v/>
      </c>
      <c r="K32" s="41"/>
      <c r="L32" s="43" t="str">
        <f aca="false">IF(AND(ISNUMBER(D32),ISNUMBER(K32)),AVERAGE(D32,K32),"")</f>
        <v/>
      </c>
      <c r="M32" s="41"/>
      <c r="N32" s="43" t="str">
        <f aca="false">IF(AND(ISNUMBER(M32),ISNUMBER(L32)),M32-L32,"")</f>
        <v/>
      </c>
      <c r="O32" s="41"/>
      <c r="P32" s="41"/>
      <c r="Q32" s="41"/>
      <c r="R32" s="44" t="str">
        <f aca="false">IF(ISNUMBER(L32),$B$17+$C$17*L32+$D$17*L32^2+$E$17*L32^3+$F$17*L32^4,"")</f>
        <v/>
      </c>
      <c r="S32" s="45" t="str">
        <f aca="false">IF(ISNUMBER(L32),$B$18+$C$18*L32+$D$18*L32^2+$E$18*L32^3+$F$18*L32^4,"")</f>
        <v/>
      </c>
      <c r="T32" s="46" t="str">
        <f aca="false">IF(ISNUMBER(L32),$B$19+$C$19*L32+$D$19*L32^2+$E$19*L32^3+$F$19*L32^4,"")</f>
        <v/>
      </c>
      <c r="U32" s="43" t="str">
        <f aca="false">IF(ISNUMBER(L32),$B$20+$C$20*L32+$D$20*L32^2+$E$20*L32^3+$F$20*L32^4,"")</f>
        <v/>
      </c>
      <c r="V32" s="45" t="str">
        <f aca="false">IF(AND(ISNUMBER(E32),ISNUMBER(R32)),E32/(R32*$C$13),"")</f>
        <v/>
      </c>
      <c r="W32" s="43" t="str">
        <f aca="false">IF(AND(ISNUMBER(P32),ISNUMBER(N32),N32&lt;&gt;0),P32/N32,"")</f>
        <v/>
      </c>
      <c r="X32" s="43" t="str">
        <f aca="false">IF(AND(ISNUMBER(W32),ISNUMBER(T32),T32&lt;&gt;0),W32*$C$5/T32,"")</f>
        <v/>
      </c>
      <c r="Y32" s="46" t="str">
        <f aca="false">IF(AND(ISNUMBER(O32),ISNUMBER(R32),ISNUMBER(V32),V32&lt;&gt;0),2*O32/(R32*V32^2),"")</f>
        <v/>
      </c>
      <c r="Z32" s="41"/>
      <c r="AA32" s="41"/>
      <c r="AB32" s="41"/>
      <c r="AC32" s="41"/>
      <c r="AD32" s="41"/>
      <c r="AE32" s="41"/>
      <c r="AF32" s="41"/>
      <c r="AG32" s="35" t="str">
        <f aca="false">IF(ISNUMBER(AF32),IF(AF32&lt;0.01,"BELOW 0.01 BAR","OK"),"")</f>
        <v/>
      </c>
    </row>
    <row r="33" customFormat="false" ht="15" hidden="false" customHeight="false" outlineLevel="0" collapsed="false">
      <c r="A33" s="35" t="n">
        <v>10</v>
      </c>
      <c r="B33" s="34" t="n">
        <v>300</v>
      </c>
      <c r="C33" s="34" t="n">
        <v>20000</v>
      </c>
      <c r="D33" s="34" t="n">
        <v>500</v>
      </c>
      <c r="E33" s="41"/>
      <c r="F33" s="41"/>
      <c r="G33" s="42" t="str">
        <f aca="false">IF(ISNUMBER(E33),ABS(E33+F33)/E33*100,"")</f>
        <v/>
      </c>
      <c r="H33" s="41"/>
      <c r="I33" s="41" t="n">
        <v>0</v>
      </c>
      <c r="J33" s="42" t="str">
        <f aca="false">IF(AND(ISNUMBER(H33),ISNUMBER(I33)),H33-I33,"")</f>
        <v/>
      </c>
      <c r="K33" s="41"/>
      <c r="L33" s="43" t="str">
        <f aca="false">IF(AND(ISNUMBER(D33),ISNUMBER(K33)),AVERAGE(D33,K33),"")</f>
        <v/>
      </c>
      <c r="M33" s="41"/>
      <c r="N33" s="43" t="str">
        <f aca="false">IF(AND(ISNUMBER(M33),ISNUMBER(L33)),M33-L33,"")</f>
        <v/>
      </c>
      <c r="O33" s="41"/>
      <c r="P33" s="41"/>
      <c r="Q33" s="41"/>
      <c r="R33" s="44" t="str">
        <f aca="false">IF(ISNUMBER(L33),$B$17+$C$17*L33+$D$17*L33^2+$E$17*L33^3+$F$17*L33^4,"")</f>
        <v/>
      </c>
      <c r="S33" s="45" t="str">
        <f aca="false">IF(ISNUMBER(L33),$B$18+$C$18*L33+$D$18*L33^2+$E$18*L33^3+$F$18*L33^4,"")</f>
        <v/>
      </c>
      <c r="T33" s="46" t="str">
        <f aca="false">IF(ISNUMBER(L33),$B$19+$C$19*L33+$D$19*L33^2+$E$19*L33^3+$F$19*L33^4,"")</f>
        <v/>
      </c>
      <c r="U33" s="43" t="str">
        <f aca="false">IF(ISNUMBER(L33),$B$20+$C$20*L33+$D$20*L33^2+$E$20*L33^3+$F$20*L33^4,"")</f>
        <v/>
      </c>
      <c r="V33" s="45" t="str">
        <f aca="false">IF(AND(ISNUMBER(E33),ISNUMBER(R33)),E33/(R33*$C$13),"")</f>
        <v/>
      </c>
      <c r="W33" s="43" t="str">
        <f aca="false">IF(AND(ISNUMBER(P33),ISNUMBER(N33),N33&lt;&gt;0),P33/N33,"")</f>
        <v/>
      </c>
      <c r="X33" s="43" t="str">
        <f aca="false">IF(AND(ISNUMBER(W33),ISNUMBER(T33),T33&lt;&gt;0),W33*$C$5/T33,"")</f>
        <v/>
      </c>
      <c r="Y33" s="46" t="str">
        <f aca="false">IF(AND(ISNUMBER(O33),ISNUMBER(R33),ISNUMBER(V33),V33&lt;&gt;0),2*O33/(R33*V33^2),"")</f>
        <v/>
      </c>
      <c r="Z33" s="41"/>
      <c r="AA33" s="41"/>
      <c r="AB33" s="41"/>
      <c r="AC33" s="41"/>
      <c r="AD33" s="41"/>
      <c r="AE33" s="41"/>
      <c r="AF33" s="41"/>
      <c r="AG33" s="35" t="str">
        <f aca="false">IF(ISNUMBER(AF33),IF(AF33&lt;0.01,"BELOW 0.01 BAR","OK"),"")</f>
        <v/>
      </c>
    </row>
    <row r="34" customFormat="false" ht="15" hidden="false" customHeight="false" outlineLevel="0" collapsed="false">
      <c r="A34" s="35" t="n">
        <v>11</v>
      </c>
      <c r="B34" s="34" t="n">
        <v>300</v>
      </c>
      <c r="C34" s="34" t="n">
        <v>25000</v>
      </c>
      <c r="D34" s="34" t="n">
        <v>500</v>
      </c>
      <c r="E34" s="41"/>
      <c r="F34" s="41"/>
      <c r="G34" s="42" t="str">
        <f aca="false">IF(ISNUMBER(E34),ABS(E34+F34)/E34*100,"")</f>
        <v/>
      </c>
      <c r="H34" s="41"/>
      <c r="I34" s="41" t="n">
        <v>0</v>
      </c>
      <c r="J34" s="42" t="str">
        <f aca="false">IF(AND(ISNUMBER(H34),ISNUMBER(I34)),H34-I34,"")</f>
        <v/>
      </c>
      <c r="K34" s="41"/>
      <c r="L34" s="43" t="str">
        <f aca="false">IF(AND(ISNUMBER(D34),ISNUMBER(K34)),AVERAGE(D34,K34),"")</f>
        <v/>
      </c>
      <c r="M34" s="41"/>
      <c r="N34" s="43" t="str">
        <f aca="false">IF(AND(ISNUMBER(M34),ISNUMBER(L34)),M34-L34,"")</f>
        <v/>
      </c>
      <c r="O34" s="41"/>
      <c r="P34" s="41"/>
      <c r="Q34" s="41"/>
      <c r="R34" s="44" t="str">
        <f aca="false">IF(ISNUMBER(L34),$B$17+$C$17*L34+$D$17*L34^2+$E$17*L34^3+$F$17*L34^4,"")</f>
        <v/>
      </c>
      <c r="S34" s="45" t="str">
        <f aca="false">IF(ISNUMBER(L34),$B$18+$C$18*L34+$D$18*L34^2+$E$18*L34^3+$F$18*L34^4,"")</f>
        <v/>
      </c>
      <c r="T34" s="46" t="str">
        <f aca="false">IF(ISNUMBER(L34),$B$19+$C$19*L34+$D$19*L34^2+$E$19*L34^3+$F$19*L34^4,"")</f>
        <v/>
      </c>
      <c r="U34" s="43" t="str">
        <f aca="false">IF(ISNUMBER(L34),$B$20+$C$20*L34+$D$20*L34^2+$E$20*L34^3+$F$20*L34^4,"")</f>
        <v/>
      </c>
      <c r="V34" s="45" t="str">
        <f aca="false">IF(AND(ISNUMBER(E34),ISNUMBER(R34)),E34/(R34*$C$13),"")</f>
        <v/>
      </c>
      <c r="W34" s="43" t="str">
        <f aca="false">IF(AND(ISNUMBER(P34),ISNUMBER(N34),N34&lt;&gt;0),P34/N34,"")</f>
        <v/>
      </c>
      <c r="X34" s="43" t="str">
        <f aca="false">IF(AND(ISNUMBER(W34),ISNUMBER(T34),T34&lt;&gt;0),W34*$C$5/T34,"")</f>
        <v/>
      </c>
      <c r="Y34" s="46" t="str">
        <f aca="false">IF(AND(ISNUMBER(O34),ISNUMBER(R34),ISNUMBER(V34),V34&lt;&gt;0),2*O34/(R34*V34^2),"")</f>
        <v/>
      </c>
      <c r="Z34" s="41"/>
      <c r="AA34" s="41"/>
      <c r="AB34" s="41"/>
      <c r="AC34" s="41"/>
      <c r="AD34" s="41"/>
      <c r="AE34" s="41"/>
      <c r="AF34" s="41"/>
      <c r="AG34" s="35" t="str">
        <f aca="false">IF(ISNUMBER(AF34),IF(AF34&lt;0.01,"BELOW 0.01 BAR","OK"),"")</f>
        <v/>
      </c>
    </row>
    <row r="35" customFormat="false" ht="15" hidden="false" customHeight="false" outlineLevel="0" collapsed="false">
      <c r="A35" s="35" t="n">
        <v>12</v>
      </c>
      <c r="B35" s="34" t="n">
        <v>300</v>
      </c>
      <c r="C35" s="34" t="n">
        <v>30000</v>
      </c>
      <c r="D35" s="34" t="n">
        <v>500</v>
      </c>
      <c r="E35" s="41"/>
      <c r="F35" s="41"/>
      <c r="G35" s="42" t="str">
        <f aca="false">IF(ISNUMBER(E35),ABS(E35+F35)/E35*100,"")</f>
        <v/>
      </c>
      <c r="H35" s="41"/>
      <c r="I35" s="41" t="n">
        <v>0</v>
      </c>
      <c r="J35" s="42" t="str">
        <f aca="false">IF(AND(ISNUMBER(H35),ISNUMBER(I35)),H35-I35,"")</f>
        <v/>
      </c>
      <c r="K35" s="41"/>
      <c r="L35" s="43" t="str">
        <f aca="false">IF(AND(ISNUMBER(D35),ISNUMBER(K35)),AVERAGE(D35,K35),"")</f>
        <v/>
      </c>
      <c r="M35" s="41"/>
      <c r="N35" s="43" t="str">
        <f aca="false">IF(AND(ISNUMBER(M35),ISNUMBER(L35)),M35-L35,"")</f>
        <v/>
      </c>
      <c r="O35" s="41"/>
      <c r="P35" s="41"/>
      <c r="Q35" s="41"/>
      <c r="R35" s="44" t="str">
        <f aca="false">IF(ISNUMBER(L35),$B$17+$C$17*L35+$D$17*L35^2+$E$17*L35^3+$F$17*L35^4,"")</f>
        <v/>
      </c>
      <c r="S35" s="45" t="str">
        <f aca="false">IF(ISNUMBER(L35),$B$18+$C$18*L35+$D$18*L35^2+$E$18*L35^3+$F$18*L35^4,"")</f>
        <v/>
      </c>
      <c r="T35" s="46" t="str">
        <f aca="false">IF(ISNUMBER(L35),$B$19+$C$19*L35+$D$19*L35^2+$E$19*L35^3+$F$19*L35^4,"")</f>
        <v/>
      </c>
      <c r="U35" s="43" t="str">
        <f aca="false">IF(ISNUMBER(L35),$B$20+$C$20*L35+$D$20*L35^2+$E$20*L35^3+$F$20*L35^4,"")</f>
        <v/>
      </c>
      <c r="V35" s="45" t="str">
        <f aca="false">IF(AND(ISNUMBER(E35),ISNUMBER(R35)),E35/(R35*$C$13),"")</f>
        <v/>
      </c>
      <c r="W35" s="43" t="str">
        <f aca="false">IF(AND(ISNUMBER(P35),ISNUMBER(N35),N35&lt;&gt;0),P35/N35,"")</f>
        <v/>
      </c>
      <c r="X35" s="43" t="str">
        <f aca="false">IF(AND(ISNUMBER(W35),ISNUMBER(T35),T35&lt;&gt;0),W35*$C$5/T35,"")</f>
        <v/>
      </c>
      <c r="Y35" s="46" t="str">
        <f aca="false">IF(AND(ISNUMBER(O35),ISNUMBER(R35),ISNUMBER(V35),V35&lt;&gt;0),2*O35/(R35*V35^2),"")</f>
        <v/>
      </c>
      <c r="Z35" s="41"/>
      <c r="AA35" s="41"/>
      <c r="AB35" s="41"/>
      <c r="AC35" s="41"/>
      <c r="AD35" s="41"/>
      <c r="AE35" s="41"/>
      <c r="AF35" s="41"/>
      <c r="AG35" s="35" t="str">
        <f aca="false">IF(ISNUMBER(AF35),IF(AF35&lt;0.01,"BELOW 0.01 BAR","OK"),"")</f>
        <v/>
      </c>
    </row>
    <row r="36" customFormat="false" ht="15" hidden="false" customHeight="false" outlineLevel="0" collapsed="false">
      <c r="A36" s="35" t="n">
        <v>13</v>
      </c>
      <c r="B36" s="34" t="n">
        <v>400</v>
      </c>
      <c r="C36" s="34" t="n">
        <v>5000</v>
      </c>
      <c r="D36" s="34" t="n">
        <v>500</v>
      </c>
      <c r="E36" s="41"/>
      <c r="F36" s="41"/>
      <c r="G36" s="42" t="str">
        <f aca="false">IF(ISNUMBER(E36),ABS(E36+F36)/E36*100,"")</f>
        <v/>
      </c>
      <c r="H36" s="41"/>
      <c r="I36" s="41" t="n">
        <v>0</v>
      </c>
      <c r="J36" s="42" t="str">
        <f aca="false">IF(AND(ISNUMBER(H36),ISNUMBER(I36)),H36-I36,"")</f>
        <v/>
      </c>
      <c r="K36" s="41"/>
      <c r="L36" s="43" t="str">
        <f aca="false">IF(AND(ISNUMBER(D36),ISNUMBER(K36)),AVERAGE(D36,K36),"")</f>
        <v/>
      </c>
      <c r="M36" s="41"/>
      <c r="N36" s="43" t="str">
        <f aca="false">IF(AND(ISNUMBER(M36),ISNUMBER(L36)),M36-L36,"")</f>
        <v/>
      </c>
      <c r="O36" s="41"/>
      <c r="P36" s="41"/>
      <c r="Q36" s="41"/>
      <c r="R36" s="44" t="str">
        <f aca="false">IF(ISNUMBER(L36),$B$17+$C$17*L36+$D$17*L36^2+$E$17*L36^3+$F$17*L36^4,"")</f>
        <v/>
      </c>
      <c r="S36" s="45" t="str">
        <f aca="false">IF(ISNUMBER(L36),$B$18+$C$18*L36+$D$18*L36^2+$E$18*L36^3+$F$18*L36^4,"")</f>
        <v/>
      </c>
      <c r="T36" s="46" t="str">
        <f aca="false">IF(ISNUMBER(L36),$B$19+$C$19*L36+$D$19*L36^2+$E$19*L36^3+$F$19*L36^4,"")</f>
        <v/>
      </c>
      <c r="U36" s="43" t="str">
        <f aca="false">IF(ISNUMBER(L36),$B$20+$C$20*L36+$D$20*L36^2+$E$20*L36^3+$F$20*L36^4,"")</f>
        <v/>
      </c>
      <c r="V36" s="45" t="str">
        <f aca="false">IF(AND(ISNUMBER(E36),ISNUMBER(R36)),E36/(R36*$C$13),"")</f>
        <v/>
      </c>
      <c r="W36" s="43" t="str">
        <f aca="false">IF(AND(ISNUMBER(P36),ISNUMBER(N36),N36&lt;&gt;0),P36/N36,"")</f>
        <v/>
      </c>
      <c r="X36" s="43" t="str">
        <f aca="false">IF(AND(ISNUMBER(W36),ISNUMBER(T36),T36&lt;&gt;0),W36*$C$5/T36,"")</f>
        <v/>
      </c>
      <c r="Y36" s="46" t="str">
        <f aca="false">IF(AND(ISNUMBER(O36),ISNUMBER(R36),ISNUMBER(V36),V36&lt;&gt;0),2*O36/(R36*V36^2),"")</f>
        <v/>
      </c>
      <c r="Z36" s="41"/>
      <c r="AA36" s="41"/>
      <c r="AB36" s="41"/>
      <c r="AC36" s="41"/>
      <c r="AD36" s="41"/>
      <c r="AE36" s="41"/>
      <c r="AF36" s="41"/>
      <c r="AG36" s="35" t="str">
        <f aca="false">IF(ISNUMBER(AF36),IF(AF36&lt;0.01,"BELOW 0.01 BAR","OK"),"")</f>
        <v/>
      </c>
    </row>
    <row r="37" customFormat="false" ht="15" hidden="false" customHeight="false" outlineLevel="0" collapsed="false">
      <c r="A37" s="35" t="n">
        <v>14</v>
      </c>
      <c r="B37" s="34" t="n">
        <v>400</v>
      </c>
      <c r="C37" s="34" t="n">
        <v>10000</v>
      </c>
      <c r="D37" s="34" t="n">
        <v>500</v>
      </c>
      <c r="E37" s="41"/>
      <c r="F37" s="41"/>
      <c r="G37" s="42" t="str">
        <f aca="false">IF(ISNUMBER(E37),ABS(E37+F37)/E37*100,"")</f>
        <v/>
      </c>
      <c r="H37" s="41"/>
      <c r="I37" s="41" t="n">
        <v>0</v>
      </c>
      <c r="J37" s="42" t="str">
        <f aca="false">IF(AND(ISNUMBER(H37),ISNUMBER(I37)),H37-I37,"")</f>
        <v/>
      </c>
      <c r="K37" s="41"/>
      <c r="L37" s="43" t="str">
        <f aca="false">IF(AND(ISNUMBER(D37),ISNUMBER(K37)),AVERAGE(D37,K37),"")</f>
        <v/>
      </c>
      <c r="M37" s="41"/>
      <c r="N37" s="43" t="str">
        <f aca="false">IF(AND(ISNUMBER(M37),ISNUMBER(L37)),M37-L37,"")</f>
        <v/>
      </c>
      <c r="O37" s="41"/>
      <c r="P37" s="41"/>
      <c r="Q37" s="41"/>
      <c r="R37" s="44" t="str">
        <f aca="false">IF(ISNUMBER(L37),$B$17+$C$17*L37+$D$17*L37^2+$E$17*L37^3+$F$17*L37^4,"")</f>
        <v/>
      </c>
      <c r="S37" s="45" t="str">
        <f aca="false">IF(ISNUMBER(L37),$B$18+$C$18*L37+$D$18*L37^2+$E$18*L37^3+$F$18*L37^4,"")</f>
        <v/>
      </c>
      <c r="T37" s="46" t="str">
        <f aca="false">IF(ISNUMBER(L37),$B$19+$C$19*L37+$D$19*L37^2+$E$19*L37^3+$F$19*L37^4,"")</f>
        <v/>
      </c>
      <c r="U37" s="43" t="str">
        <f aca="false">IF(ISNUMBER(L37),$B$20+$C$20*L37+$D$20*L37^2+$E$20*L37^3+$F$20*L37^4,"")</f>
        <v/>
      </c>
      <c r="V37" s="45" t="str">
        <f aca="false">IF(AND(ISNUMBER(E37),ISNUMBER(R37)),E37/(R37*$C$13),"")</f>
        <v/>
      </c>
      <c r="W37" s="43" t="str">
        <f aca="false">IF(AND(ISNUMBER(P37),ISNUMBER(N37),N37&lt;&gt;0),P37/N37,"")</f>
        <v/>
      </c>
      <c r="X37" s="43" t="str">
        <f aca="false">IF(AND(ISNUMBER(W37),ISNUMBER(T37),T37&lt;&gt;0),W37*$C$5/T37,"")</f>
        <v/>
      </c>
      <c r="Y37" s="46" t="str">
        <f aca="false">IF(AND(ISNUMBER(O37),ISNUMBER(R37),ISNUMBER(V37),V37&lt;&gt;0),2*O37/(R37*V37^2),"")</f>
        <v/>
      </c>
      <c r="Z37" s="41"/>
      <c r="AA37" s="41"/>
      <c r="AB37" s="41"/>
      <c r="AC37" s="41"/>
      <c r="AD37" s="41"/>
      <c r="AE37" s="41"/>
      <c r="AF37" s="41"/>
      <c r="AG37" s="35" t="str">
        <f aca="false">IF(ISNUMBER(AF37),IF(AF37&lt;0.01,"BELOW 0.01 BAR","OK"),"")</f>
        <v/>
      </c>
    </row>
    <row r="38" customFormat="false" ht="15" hidden="false" customHeight="false" outlineLevel="0" collapsed="false">
      <c r="A38" s="35" t="n">
        <v>15</v>
      </c>
      <c r="B38" s="34" t="n">
        <v>400</v>
      </c>
      <c r="C38" s="34" t="n">
        <v>15000</v>
      </c>
      <c r="D38" s="34" t="n">
        <v>500</v>
      </c>
      <c r="E38" s="41"/>
      <c r="F38" s="41"/>
      <c r="G38" s="42" t="str">
        <f aca="false">IF(ISNUMBER(E38),ABS(E38+F38)/E38*100,"")</f>
        <v/>
      </c>
      <c r="H38" s="41"/>
      <c r="I38" s="41" t="n">
        <v>0</v>
      </c>
      <c r="J38" s="42" t="str">
        <f aca="false">IF(AND(ISNUMBER(H38),ISNUMBER(I38)),H38-I38,"")</f>
        <v/>
      </c>
      <c r="K38" s="41"/>
      <c r="L38" s="43" t="str">
        <f aca="false">IF(AND(ISNUMBER(D38),ISNUMBER(K38)),AVERAGE(D38,K38),"")</f>
        <v/>
      </c>
      <c r="M38" s="41"/>
      <c r="N38" s="43" t="str">
        <f aca="false">IF(AND(ISNUMBER(M38),ISNUMBER(L38)),M38-L38,"")</f>
        <v/>
      </c>
      <c r="O38" s="41"/>
      <c r="P38" s="41"/>
      <c r="Q38" s="41"/>
      <c r="R38" s="44" t="str">
        <f aca="false">IF(ISNUMBER(L38),$B$17+$C$17*L38+$D$17*L38^2+$E$17*L38^3+$F$17*L38^4,"")</f>
        <v/>
      </c>
      <c r="S38" s="45" t="str">
        <f aca="false">IF(ISNUMBER(L38),$B$18+$C$18*L38+$D$18*L38^2+$E$18*L38^3+$F$18*L38^4,"")</f>
        <v/>
      </c>
      <c r="T38" s="46" t="str">
        <f aca="false">IF(ISNUMBER(L38),$B$19+$C$19*L38+$D$19*L38^2+$E$19*L38^3+$F$19*L38^4,"")</f>
        <v/>
      </c>
      <c r="U38" s="43" t="str">
        <f aca="false">IF(ISNUMBER(L38),$B$20+$C$20*L38+$D$20*L38^2+$E$20*L38^3+$F$20*L38^4,"")</f>
        <v/>
      </c>
      <c r="V38" s="45" t="str">
        <f aca="false">IF(AND(ISNUMBER(E38),ISNUMBER(R38)),E38/(R38*$C$13),"")</f>
        <v/>
      </c>
      <c r="W38" s="43" t="str">
        <f aca="false">IF(AND(ISNUMBER(P38),ISNUMBER(N38),N38&lt;&gt;0),P38/N38,"")</f>
        <v/>
      </c>
      <c r="X38" s="43" t="str">
        <f aca="false">IF(AND(ISNUMBER(W38),ISNUMBER(T38),T38&lt;&gt;0),W38*$C$5/T38,"")</f>
        <v/>
      </c>
      <c r="Y38" s="46" t="str">
        <f aca="false">IF(AND(ISNUMBER(O38),ISNUMBER(R38),ISNUMBER(V38),V38&lt;&gt;0),2*O38/(R38*V38^2),"")</f>
        <v/>
      </c>
      <c r="Z38" s="41"/>
      <c r="AA38" s="41"/>
      <c r="AB38" s="41"/>
      <c r="AC38" s="41"/>
      <c r="AD38" s="41"/>
      <c r="AE38" s="41"/>
      <c r="AF38" s="41"/>
      <c r="AG38" s="35" t="str">
        <f aca="false">IF(ISNUMBER(AF38),IF(AF38&lt;0.01,"BELOW 0.01 BAR","OK"),"")</f>
        <v/>
      </c>
    </row>
    <row r="39" customFormat="false" ht="15" hidden="false" customHeight="false" outlineLevel="0" collapsed="false">
      <c r="A39" s="35" t="n">
        <v>16</v>
      </c>
      <c r="B39" s="34" t="n">
        <v>400</v>
      </c>
      <c r="C39" s="34" t="n">
        <v>20000</v>
      </c>
      <c r="D39" s="34" t="n">
        <v>500</v>
      </c>
      <c r="E39" s="41"/>
      <c r="F39" s="41"/>
      <c r="G39" s="42" t="str">
        <f aca="false">IF(ISNUMBER(E39),ABS(E39+F39)/E39*100,"")</f>
        <v/>
      </c>
      <c r="H39" s="41"/>
      <c r="I39" s="41" t="n">
        <v>0</v>
      </c>
      <c r="J39" s="42" t="str">
        <f aca="false">IF(AND(ISNUMBER(H39),ISNUMBER(I39)),H39-I39,"")</f>
        <v/>
      </c>
      <c r="K39" s="41"/>
      <c r="L39" s="43" t="str">
        <f aca="false">IF(AND(ISNUMBER(D39),ISNUMBER(K39)),AVERAGE(D39,K39),"")</f>
        <v/>
      </c>
      <c r="M39" s="41"/>
      <c r="N39" s="43" t="str">
        <f aca="false">IF(AND(ISNUMBER(M39),ISNUMBER(L39)),M39-L39,"")</f>
        <v/>
      </c>
      <c r="O39" s="41"/>
      <c r="P39" s="41"/>
      <c r="Q39" s="41"/>
      <c r="R39" s="44" t="str">
        <f aca="false">IF(ISNUMBER(L39),$B$17+$C$17*L39+$D$17*L39^2+$E$17*L39^3+$F$17*L39^4,"")</f>
        <v/>
      </c>
      <c r="S39" s="45" t="str">
        <f aca="false">IF(ISNUMBER(L39),$B$18+$C$18*L39+$D$18*L39^2+$E$18*L39^3+$F$18*L39^4,"")</f>
        <v/>
      </c>
      <c r="T39" s="46" t="str">
        <f aca="false">IF(ISNUMBER(L39),$B$19+$C$19*L39+$D$19*L39^2+$E$19*L39^3+$F$19*L39^4,"")</f>
        <v/>
      </c>
      <c r="U39" s="43" t="str">
        <f aca="false">IF(ISNUMBER(L39),$B$20+$C$20*L39+$D$20*L39^2+$E$20*L39^3+$F$20*L39^4,"")</f>
        <v/>
      </c>
      <c r="V39" s="45" t="str">
        <f aca="false">IF(AND(ISNUMBER(E39),ISNUMBER(R39)),E39/(R39*$C$13),"")</f>
        <v/>
      </c>
      <c r="W39" s="43" t="str">
        <f aca="false">IF(AND(ISNUMBER(P39),ISNUMBER(N39),N39&lt;&gt;0),P39/N39,"")</f>
        <v/>
      </c>
      <c r="X39" s="43" t="str">
        <f aca="false">IF(AND(ISNUMBER(W39),ISNUMBER(T39),T39&lt;&gt;0),W39*$C$5/T39,"")</f>
        <v/>
      </c>
      <c r="Y39" s="46" t="str">
        <f aca="false">IF(AND(ISNUMBER(O39),ISNUMBER(R39),ISNUMBER(V39),V39&lt;&gt;0),2*O39/(R39*V39^2),"")</f>
        <v/>
      </c>
      <c r="Z39" s="41"/>
      <c r="AA39" s="41"/>
      <c r="AB39" s="41"/>
      <c r="AC39" s="41"/>
      <c r="AD39" s="41"/>
      <c r="AE39" s="41"/>
      <c r="AF39" s="41"/>
      <c r="AG39" s="35" t="str">
        <f aca="false">IF(ISNUMBER(AF39),IF(AF39&lt;0.01,"BELOW 0.01 BAR","OK"),"")</f>
        <v/>
      </c>
    </row>
    <row r="40" customFormat="false" ht="15" hidden="false" customHeight="false" outlineLevel="0" collapsed="false">
      <c r="A40" s="35" t="n">
        <v>17</v>
      </c>
      <c r="B40" s="34" t="n">
        <v>400</v>
      </c>
      <c r="C40" s="34" t="n">
        <v>25000</v>
      </c>
      <c r="D40" s="34" t="n">
        <v>500</v>
      </c>
      <c r="E40" s="41"/>
      <c r="F40" s="41"/>
      <c r="G40" s="42" t="str">
        <f aca="false">IF(ISNUMBER(E40),ABS(E40+F40)/E40*100,"")</f>
        <v/>
      </c>
      <c r="H40" s="41"/>
      <c r="I40" s="41" t="n">
        <v>0</v>
      </c>
      <c r="J40" s="42" t="str">
        <f aca="false">IF(AND(ISNUMBER(H40),ISNUMBER(I40)),H40-I40,"")</f>
        <v/>
      </c>
      <c r="K40" s="41"/>
      <c r="L40" s="43" t="str">
        <f aca="false">IF(AND(ISNUMBER(D40),ISNUMBER(K40)),AVERAGE(D40,K40),"")</f>
        <v/>
      </c>
      <c r="M40" s="41"/>
      <c r="N40" s="43" t="str">
        <f aca="false">IF(AND(ISNUMBER(M40),ISNUMBER(L40)),M40-L40,"")</f>
        <v/>
      </c>
      <c r="O40" s="41"/>
      <c r="P40" s="41"/>
      <c r="Q40" s="41"/>
      <c r="R40" s="44" t="str">
        <f aca="false">IF(ISNUMBER(L40),$B$17+$C$17*L40+$D$17*L40^2+$E$17*L40^3+$F$17*L40^4,"")</f>
        <v/>
      </c>
      <c r="S40" s="45" t="str">
        <f aca="false">IF(ISNUMBER(L40),$B$18+$C$18*L40+$D$18*L40^2+$E$18*L40^3+$F$18*L40^4,"")</f>
        <v/>
      </c>
      <c r="T40" s="46" t="str">
        <f aca="false">IF(ISNUMBER(L40),$B$19+$C$19*L40+$D$19*L40^2+$E$19*L40^3+$F$19*L40^4,"")</f>
        <v/>
      </c>
      <c r="U40" s="43" t="str">
        <f aca="false">IF(ISNUMBER(L40),$B$20+$C$20*L40+$D$20*L40^2+$E$20*L40^3+$F$20*L40^4,"")</f>
        <v/>
      </c>
      <c r="V40" s="45" t="str">
        <f aca="false">IF(AND(ISNUMBER(E40),ISNUMBER(R40)),E40/(R40*$C$13),"")</f>
        <v/>
      </c>
      <c r="W40" s="43" t="str">
        <f aca="false">IF(AND(ISNUMBER(P40),ISNUMBER(N40),N40&lt;&gt;0),P40/N40,"")</f>
        <v/>
      </c>
      <c r="X40" s="43" t="str">
        <f aca="false">IF(AND(ISNUMBER(W40),ISNUMBER(T40),T40&lt;&gt;0),W40*$C$5/T40,"")</f>
        <v/>
      </c>
      <c r="Y40" s="46" t="str">
        <f aca="false">IF(AND(ISNUMBER(O40),ISNUMBER(R40),ISNUMBER(V40),V40&lt;&gt;0),2*O40/(R40*V40^2),"")</f>
        <v/>
      </c>
      <c r="Z40" s="41"/>
      <c r="AA40" s="41"/>
      <c r="AB40" s="41"/>
      <c r="AC40" s="41"/>
      <c r="AD40" s="41"/>
      <c r="AE40" s="41"/>
      <c r="AF40" s="41"/>
      <c r="AG40" s="35" t="str">
        <f aca="false">IF(ISNUMBER(AF40),IF(AF40&lt;0.01,"BELOW 0.01 BAR","OK"),"")</f>
        <v/>
      </c>
    </row>
    <row r="41" customFormat="false" ht="15" hidden="false" customHeight="false" outlineLevel="0" collapsed="false">
      <c r="A41" s="35" t="n">
        <v>18</v>
      </c>
      <c r="B41" s="34" t="n">
        <v>400</v>
      </c>
      <c r="C41" s="34" t="n">
        <v>30000</v>
      </c>
      <c r="D41" s="34" t="n">
        <v>500</v>
      </c>
      <c r="E41" s="41"/>
      <c r="F41" s="41"/>
      <c r="G41" s="42" t="str">
        <f aca="false">IF(ISNUMBER(E41),ABS(E41+F41)/E41*100,"")</f>
        <v/>
      </c>
      <c r="H41" s="41"/>
      <c r="I41" s="41" t="n">
        <v>0</v>
      </c>
      <c r="J41" s="42" t="str">
        <f aca="false">IF(AND(ISNUMBER(H41),ISNUMBER(I41)),H41-I41,"")</f>
        <v/>
      </c>
      <c r="K41" s="41"/>
      <c r="L41" s="43" t="str">
        <f aca="false">IF(AND(ISNUMBER(D41),ISNUMBER(K41)),AVERAGE(D41,K41),"")</f>
        <v/>
      </c>
      <c r="M41" s="41"/>
      <c r="N41" s="43" t="str">
        <f aca="false">IF(AND(ISNUMBER(M41),ISNUMBER(L41)),M41-L41,"")</f>
        <v/>
      </c>
      <c r="O41" s="41"/>
      <c r="P41" s="41"/>
      <c r="Q41" s="41"/>
      <c r="R41" s="44" t="str">
        <f aca="false">IF(ISNUMBER(L41),$B$17+$C$17*L41+$D$17*L41^2+$E$17*L41^3+$F$17*L41^4,"")</f>
        <v/>
      </c>
      <c r="S41" s="45" t="str">
        <f aca="false">IF(ISNUMBER(L41),$B$18+$C$18*L41+$D$18*L41^2+$E$18*L41^3+$F$18*L41^4,"")</f>
        <v/>
      </c>
      <c r="T41" s="46" t="str">
        <f aca="false">IF(ISNUMBER(L41),$B$19+$C$19*L41+$D$19*L41^2+$E$19*L41^3+$F$19*L41^4,"")</f>
        <v/>
      </c>
      <c r="U41" s="43" t="str">
        <f aca="false">IF(ISNUMBER(L41),$B$20+$C$20*L41+$D$20*L41^2+$E$20*L41^3+$F$20*L41^4,"")</f>
        <v/>
      </c>
      <c r="V41" s="45" t="str">
        <f aca="false">IF(AND(ISNUMBER(E41),ISNUMBER(R41)),E41/(R41*$C$13),"")</f>
        <v/>
      </c>
      <c r="W41" s="43" t="str">
        <f aca="false">IF(AND(ISNUMBER(P41),ISNUMBER(N41),N41&lt;&gt;0),P41/N41,"")</f>
        <v/>
      </c>
      <c r="X41" s="43" t="str">
        <f aca="false">IF(AND(ISNUMBER(W41),ISNUMBER(T41),T41&lt;&gt;0),W41*$C$5/T41,"")</f>
        <v/>
      </c>
      <c r="Y41" s="46" t="str">
        <f aca="false">IF(AND(ISNUMBER(O41),ISNUMBER(R41),ISNUMBER(V41),V41&lt;&gt;0),2*O41/(R41*V41^2),"")</f>
        <v/>
      </c>
      <c r="Z41" s="41"/>
      <c r="AA41" s="41"/>
      <c r="AB41" s="41"/>
      <c r="AC41" s="41"/>
      <c r="AD41" s="41"/>
      <c r="AE41" s="41"/>
      <c r="AF41" s="41"/>
      <c r="AG41" s="35" t="str">
        <f aca="false">IF(ISNUMBER(AF41),IF(AF41&lt;0.01,"BELOW 0.01 BAR","OK"),"")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2026-08-26T11:59:27Z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