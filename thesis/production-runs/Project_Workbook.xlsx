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ometry Information" sheetId="1" state="visible" r:id="rId3"/>
    <sheet name="Geometry Screening Plan" sheetId="2" state="visible" r:id="rId4"/>
    <sheet name="Mesh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<sst xmlns="http://schemas.openxmlformats.org/spreadsheetml/2006/main" count="99" uniqueCount="77">
  <si>
    <t xml:space="preserve">PTSC Receiver — Hollow Twisted Square Promoter — Geometry Information</t>
  </si>
  <si>
    <t xml:space="preserve">Baseline geometry used for the mesh-independence study. Every later run's geometry sheet will start from this same layout.</t>
  </si>
  <si>
    <t xml:space="preserve">Absorber Tube (fixed — same for every run)</t>
  </si>
  <si>
    <t xml:space="preserve">Outer diameter, dto</t>
  </si>
  <si>
    <t xml:space="preserve">mm</t>
  </si>
  <si>
    <t xml:space="preserve">Inner diameter, dti</t>
  </si>
  <si>
    <t xml:space="preserve">Wall thickness (dto − dti) / 2</t>
  </si>
  <si>
    <t xml:space="preserve">Length</t>
  </si>
  <si>
    <t xml:space="preserve">Set to 2 m for this restarted study. Earlier project notes used 4 m (the original 27-run plan) — confirm 2 m with advisor before locking it in.</t>
  </si>
  <si>
    <t xml:space="preserve">Material</t>
  </si>
  <si>
    <t xml:space="preserve">Stainless steel</t>
  </si>
  <si>
    <t xml:space="preserve">Promoter — baseline case for mesh-independence test</t>
  </si>
  <si>
    <t xml:space="preserve">Outer diameter, dpo</t>
  </si>
  <si>
    <t xml:space="preserve">Inner diameter, dpi</t>
  </si>
  <si>
    <t xml:space="preserve">Wall thickness, tp = (dpo − dpi) / 2</t>
  </si>
  <si>
    <t xml:space="preserve">Twist pitch, Pt</t>
  </si>
  <si>
    <t xml:space="preserve">Derived ratios (for reference — not typed into Design Modeler)</t>
  </si>
  <si>
    <t xml:space="preserve">Twist pitch ratio, Pt / dti</t>
  </si>
  <si>
    <t xml:space="preserve">Promoter size ratio, dpo / dti</t>
  </si>
  <si>
    <t xml:space="preserve">Wall thickness ratio, tp / dpo</t>
  </si>
  <si>
    <t xml:space="preserve">Geometry Screening Plan — one factor at a time</t>
  </si>
  <si>
    <t xml:space="preserve">Every column here is exactly what gets typed into Design Modeler: dto, dti, Length, dpo, dpi, Pt. No wall-thickness field exists in Design Modeler, so tp is never a column — the wall is just whatever's left between the outer (dpo) and inner (dpi) squares you sketch. "winner" means that value isn't decided yet — it depends on an earlier stage's result.</t>
  </si>
  <si>
    <t xml:space="preserve">Legend:  Blue = Design Modeler input   Red = ratio (reference only)   Green = winner, not yet known</t>
  </si>
  <si>
    <t xml:space="preserve">Testing</t>
  </si>
  <si>
    <t xml:space="preserve">dto</t>
  </si>
  <si>
    <t xml:space="preserve">dti</t>
  </si>
  <si>
    <t xml:space="preserve">dpo</t>
  </si>
  <si>
    <t xml:space="preserve">dpi</t>
  </si>
  <si>
    <t xml:space="preserve">Pt</t>
  </si>
  <si>
    <t xml:space="preserve">Pt/dti</t>
  </si>
  <si>
    <t xml:space="preserve">dpo/dti</t>
  </si>
  <si>
    <t xml:space="preserve">tp/dpo</t>
  </si>
  <si>
    <t xml:space="preserve">Twist pitch, level 1</t>
  </si>
  <si>
    <t xml:space="preserve">Twist pitch, level 2</t>
  </si>
  <si>
    <t xml:space="preserve">Twist pitch, level 3</t>
  </si>
  <si>
    <t xml:space="preserve">Promoter size, level 1</t>
  </si>
  <si>
    <t xml:space="preserve">winner</t>
  </si>
  <si>
    <t xml:space="preserve">Promoter size, level 2</t>
  </si>
  <si>
    <t xml:space="preserve">Promoter size, level 3</t>
  </si>
  <si>
    <t xml:space="preserve">Wall thickness, level 1</t>
  </si>
  <si>
    <t xml:space="preserve">Wall thickness, level 2</t>
  </si>
  <si>
    <t xml:space="preserve">Wall thickness, level 3</t>
  </si>
  <si>
    <t xml:space="preserve">Mesh Log — settings and quality output, one row per run</t>
  </si>
  <si>
    <t xml:space="preserve">Blue = mesh setting you chose in Meshing. Black = quality number Meshing reported. Red = fails the 0.01 Min Orthogonal Quality bar that invalidated Runs 8 and 16 in the master workbook.</t>
  </si>
  <si>
    <t xml:space="preserve">Run</t>
  </si>
  <si>
    <t xml:space="preserve">Symbol</t>
  </si>
  <si>
    <t xml:space="preserve">Element Size (mm)</t>
  </si>
  <si>
    <t xml:space="preserve">Method</t>
  </si>
  <si>
    <t xml:space="preserve">Sheet Body Method</t>
  </si>
  <si>
    <t xml:space="preserve">Sweepable Body Method</t>
  </si>
  <si>
    <t xml:space="preserve">Inflation 1 — Boundary</t>
  </si>
  <si>
    <t xml:space="preserve">Inflation 1 — Option</t>
  </si>
  <si>
    <t xml:space="preserve">Inflation 1 — Transition Ratio</t>
  </si>
  <si>
    <t xml:space="preserve">Inflation 1 — Max Layers</t>
  </si>
  <si>
    <t xml:space="preserve">Inflation 1 — Growth Rate</t>
  </si>
  <si>
    <t xml:space="preserve">Inflation 2 — Boundary</t>
  </si>
  <si>
    <t xml:space="preserve">Inflation 2 — Option</t>
  </si>
  <si>
    <t xml:space="preserve">Inflation 2 — Transition Ratio</t>
  </si>
  <si>
    <t xml:space="preserve">Inflation 2 — Max Layers</t>
  </si>
  <si>
    <t xml:space="preserve">Inflation 2 — Growth Rate</t>
  </si>
  <si>
    <t xml:space="preserve">Nodes</t>
  </si>
  <si>
    <t xml:space="preserve">Elements</t>
  </si>
  <si>
    <t xml:space="preserve">Max Skewness</t>
  </si>
  <si>
    <t xml:space="preserve">Min Skewness</t>
  </si>
  <si>
    <t xml:space="preserve">Max Orthogonal Quality</t>
  </si>
  <si>
    <t xml:space="preserve">Min Orthogonal Quality</t>
  </si>
  <si>
    <t xml:space="preserve">Quality vs 0.01 bar</t>
  </si>
  <si>
    <t xml:space="preserve">Flag</t>
  </si>
  <si>
    <t xml:space="preserve">Pt = 200 mm  (Twist pitch, level 1)</t>
  </si>
  <si>
    <t xml:space="preserve">Patch Conforming</t>
  </si>
  <si>
    <t xml:space="preserve">Quad Dominant</t>
  </si>
  <si>
    <t xml:space="preserve">Sweep</t>
  </si>
  <si>
    <t xml:space="preserve">5 Faces</t>
  </si>
  <si>
    <t xml:space="preserve">Smooth Transition</t>
  </si>
  <si>
    <t xml:space="preserve">4 Faces</t>
  </si>
  <si>
    <t xml:space="preserve">FLAG 1: Min Orthogonal Quality (0.0037671) is below the 0.01 bar that invalidated Runs 8 and 16 in the master workbook — worse than either of those (0.0096914 and 0.0092812). This is the smallest promoter (dpo=15mm), not expected to have annulus-tightness problems. Check in Fluent whether this run actually converged before trusting its results.</t>
  </si>
  <si>
    <t xml:space="preserve">FLAG 2: Inflation Option shown here is "Smooth Transition" with Transition Ratio 0.006959. The documented adopted method (gci_mesh_plan.md) is "First Layer Thickness" with First Layer Height 0.006959mm — same number, different setting. Confirm which one was actually intended.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</si>
</sst>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0;;;General"/>
    <numFmt numFmtId="167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Times New Roman"/>
      <family val="0"/>
      <charset val="1"/>
    </font>
    <font>
      <i val="true"/>
      <sz val="11"/>
      <color rgb="FF595959"/>
      <name val="Times New Roman"/>
      <family val="0"/>
      <charset val="1"/>
    </font>
    <font>
      <b val="true"/>
      <sz val="12"/>
      <color rgb="FFFFFFFF"/>
      <name val="Times New Roman"/>
      <family val="0"/>
      <charset val="1"/>
    </font>
    <font>
      <sz val="12"/>
      <name val="Times New Roman"/>
      <family val="0"/>
      <charset val="1"/>
    </font>
    <font>
      <sz val="12"/>
      <color rgb="FF0000FF"/>
      <name val="Times New Roman"/>
      <family val="0"/>
      <charset val="1"/>
    </font>
    <font>
      <sz val="12"/>
      <color rgb="FF000000"/>
      <name val="Times New Roman"/>
      <family val="0"/>
      <charset val="1"/>
    </font>
    <font>
      <sz val="12"/>
      <color rgb="FFC00000"/>
      <name val="Times New Roman"/>
      <family val="0"/>
      <charset val="1"/>
    </font>
    <font>
      <i val="true"/>
      <sz val="11"/>
      <name val="Times New Roman"/>
      <family val="0"/>
      <charset val="1"/>
    </font>
    <font>
      <sz val="12"/>
      <color rgb="FF00A651"/>
      <name val="Times New Roman"/>
      <family val="0"/>
      <charset val="1"/>
    </font>
    <font>
      <i val="true"/>
      <sz val="11"/>
      <color rgb="FFC00000"/>
      <name val="Times New Roman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0066CC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00A651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  <col collapsed="false" customWidth="true" hidden="false" outlineLevel="0" max="3" min="3" style="1" width="8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0</v>
      </c>
      <c r="B1" s="2"/>
      <c r="C1" s="2"/>
      <c r="D1" s="2"/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/>
      <c r="C4" s="4"/>
    </row>
    <row r="5" customFormat="false" ht="15" hidden="false" customHeight="true" outlineLevel="0" collapsed="false">
      <c r="A5" s="5" t="s">
        <v>3</v>
      </c>
      <c r="B5" s="6" t="n">
        <v>70</v>
      </c>
      <c r="C5" s="7" t="s">
        <v>4</v>
      </c>
    </row>
    <row r="6" customFormat="false" ht="15" hidden="false" customHeight="true" outlineLevel="0" collapsed="false">
      <c r="A6" s="5" t="s">
        <v>5</v>
      </c>
      <c r="B6" s="6" t="n">
        <v>66</v>
      </c>
      <c r="C6" s="7" t="s">
        <v>4</v>
      </c>
    </row>
    <row r="7" customFormat="false" ht="15" hidden="false" customHeight="true" outlineLevel="0" collapsed="false">
      <c r="A7" s="5" t="s">
        <v>6</v>
      </c>
      <c r="B7" s="8" t="n">
        <f aca="false">(B5-B6)/2</f>
        <v>2</v>
      </c>
      <c r="C7" s="7" t="s">
        <v>4</v>
      </c>
    </row>
    <row r="8" customFormat="false" ht="15" hidden="false" customHeight="true" outlineLevel="0" collapsed="false">
      <c r="A8" s="5" t="s">
        <v>7</v>
      </c>
      <c r="B8" s="6" t="n">
        <v>2000</v>
      </c>
      <c r="C8" s="7" t="s">
        <v>4</v>
      </c>
      <c r="D8" s="3" t="s">
        <v>8</v>
      </c>
    </row>
    <row r="9" customFormat="false" ht="15" hidden="false" customHeight="true" outlineLevel="0" collapsed="false">
      <c r="A9" s="5" t="s">
        <v>9</v>
      </c>
      <c r="B9" s="6" t="s">
        <v>10</v>
      </c>
      <c r="C9" s="7"/>
    </row>
    <row r="11" customFormat="false" ht="15" hidden="false" customHeight="true" outlineLevel="0" collapsed="false">
      <c r="A11" s="4" t="s">
        <v>11</v>
      </c>
      <c r="B11" s="4"/>
      <c r="C11" s="4"/>
    </row>
    <row r="12" customFormat="false" ht="15" hidden="false" customHeight="true" outlineLevel="0" collapsed="false">
      <c r="A12" s="5" t="s">
        <v>12</v>
      </c>
      <c r="B12" s="6" t="n">
        <v>25</v>
      </c>
      <c r="C12" s="7" t="s">
        <v>4</v>
      </c>
    </row>
    <row r="13" customFormat="false" ht="15" hidden="false" customHeight="true" outlineLevel="0" collapsed="false">
      <c r="A13" s="5" t="s">
        <v>13</v>
      </c>
      <c r="B13" s="6" t="n">
        <v>21</v>
      </c>
      <c r="C13" s="7" t="s">
        <v>4</v>
      </c>
    </row>
    <row r="14" customFormat="false" ht="15" hidden="false" customHeight="true" outlineLevel="0" collapsed="false">
      <c r="A14" s="5" t="s">
        <v>14</v>
      </c>
      <c r="B14" s="8" t="n">
        <f aca="false">(B12-B13)/2</f>
        <v>2</v>
      </c>
      <c r="C14" s="7" t="s">
        <v>4</v>
      </c>
    </row>
    <row r="15" customFormat="false" ht="15" hidden="false" customHeight="true" outlineLevel="0" collapsed="false">
      <c r="A15" s="5" t="s">
        <v>15</v>
      </c>
      <c r="B15" s="6" t="n">
        <v>200</v>
      </c>
      <c r="C15" s="7" t="s">
        <v>4</v>
      </c>
    </row>
    <row r="16" customFormat="false" ht="15" hidden="false" customHeight="true" outlineLevel="0" collapsed="false">
      <c r="A16" s="5" t="s">
        <v>9</v>
      </c>
      <c r="B16" s="6" t="s">
        <v>10</v>
      </c>
      <c r="C16" s="7"/>
    </row>
    <row r="18" customFormat="false" ht="15" hidden="false" customHeight="true" outlineLevel="0" collapsed="false">
      <c r="A18" s="4" t="s">
        <v>16</v>
      </c>
      <c r="B18" s="4"/>
      <c r="C18" s="4"/>
    </row>
    <row r="19" customFormat="false" ht="15" hidden="false" customHeight="true" outlineLevel="0" collapsed="false">
      <c r="A19" s="5" t="s">
        <v>17</v>
      </c>
      <c r="B19" s="9" t="n">
        <f aca="false">B15/B6</f>
        <v>3.03030303030303</v>
      </c>
      <c r="C19" s="7"/>
    </row>
    <row r="20" customFormat="false" ht="15" hidden="false" customHeight="true" outlineLevel="0" collapsed="false">
      <c r="A20" s="5" t="s">
        <v>18</v>
      </c>
      <c r="B20" s="9" t="n">
        <f aca="false">B12/B6</f>
        <v>0.378787878787879</v>
      </c>
      <c r="C20" s="7"/>
    </row>
    <row r="21" customFormat="false" ht="15" hidden="false" customHeight="true" outlineLevel="0" collapsed="false">
      <c r="A21" s="5" t="s">
        <v>19</v>
      </c>
      <c r="B21" s="9" t="n">
        <f aca="false">B14/B12</f>
        <v>0.08</v>
      </c>
      <c r="C21" s="7"/>
    </row>
  </sheetData>
  <mergeCells count="4">
    <mergeCell ref="A1:D1"/>
    <mergeCell ref="A4:C4"/>
    <mergeCell ref="A11:C11"/>
    <mergeCell ref="A18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3" min="2" style="1" width="7"/>
    <col collapsed="false" customWidth="true" hidden="false" outlineLevel="0" max="4" min="4" style="1" width="9"/>
    <col collapsed="false" customWidth="true" hidden="false" outlineLevel="0" max="6" min="5" style="1" width="7"/>
    <col collapsed="false" customWidth="true" hidden="false" outlineLevel="0" max="8" min="7" style="1" width="9"/>
    <col collapsed="false" customWidth="true" hidden="false" outlineLevel="0" max="9" min="9" style="1" width="10"/>
    <col collapsed="false" customWidth="true" hidden="false" outlineLevel="0" max="10" min="10" style="1" width="9"/>
  </cols>
  <sheetData>
    <row r="1" customFormat="false" ht="17.25" hidden="false" customHeight="true" outlineLevel="0" collapsed="false">
      <c r="A1" s="2" t="s">
        <v>20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10" t="s">
        <v>21</v>
      </c>
      <c r="B2" s="10"/>
      <c r="C2" s="10"/>
      <c r="D2" s="10"/>
      <c r="E2" s="10"/>
      <c r="F2" s="10"/>
      <c r="G2" s="10"/>
      <c r="H2" s="10"/>
      <c r="I2" s="10"/>
      <c r="J2" s="10"/>
    </row>
    <row r="3" customFormat="false" ht="15" hidden="false" customHeight="true" outlineLevel="0" collapsed="false">
      <c r="A3" s="11" t="s">
        <v>22</v>
      </c>
      <c r="B3" s="11"/>
      <c r="C3" s="11"/>
      <c r="D3" s="11"/>
      <c r="E3" s="11"/>
      <c r="F3" s="11"/>
      <c r="G3" s="11"/>
      <c r="H3" s="11"/>
      <c r="I3" s="11"/>
      <c r="J3" s="11"/>
    </row>
    <row r="5" customFormat="false" ht="15" hidden="false" customHeight="true" outlineLevel="0" collapsed="false">
      <c r="A5" s="12" t="s">
        <v>23</v>
      </c>
      <c r="B5" s="12" t="s">
        <v>24</v>
      </c>
      <c r="C5" s="12" t="s">
        <v>25</v>
      </c>
      <c r="D5" s="12" t="s">
        <v>7</v>
      </c>
      <c r="E5" s="12" t="s">
        <v>26</v>
      </c>
      <c r="F5" s="12" t="s">
        <v>27</v>
      </c>
      <c r="G5" s="12" t="s">
        <v>28</v>
      </c>
      <c r="H5" s="12" t="s">
        <v>29</v>
      </c>
      <c r="I5" s="12" t="s">
        <v>30</v>
      </c>
      <c r="J5" s="12" t="s">
        <v>31</v>
      </c>
    </row>
    <row r="6" customFormat="false" ht="15" hidden="false" customHeight="true" outlineLevel="0" collapsed="false">
      <c r="A6" s="13" t="s">
        <v>32</v>
      </c>
      <c r="B6" s="14" t="n">
        <v>70</v>
      </c>
      <c r="C6" s="14" t="n">
        <v>66</v>
      </c>
      <c r="D6" s="14" t="n">
        <v>2000</v>
      </c>
      <c r="E6" s="14" t="n">
        <v>15</v>
      </c>
      <c r="F6" s="14" t="n">
        <v>12.9</v>
      </c>
      <c r="G6" s="14" t="n">
        <v>200</v>
      </c>
      <c r="H6" s="15" t="n">
        <f aca="false">IF(ISNUMBER(G6),G6/C6,"winner")</f>
        <v>3.03030303030303</v>
      </c>
      <c r="I6" s="15" t="n">
        <f aca="false">IF(ISNUMBER(E6),E6/C6,"winner")</f>
        <v>0.227272727272727</v>
      </c>
      <c r="J6" s="16" t="n">
        <f aca="false">IF(AND(ISNUMBER(E6),ISNUMBER(F6)),(E6-F6)/(2*E6),0.07)</f>
        <v>0.07</v>
      </c>
    </row>
    <row r="7" customFormat="false" ht="15" hidden="false" customHeight="true" outlineLevel="0" collapsed="false">
      <c r="A7" s="13" t="s">
        <v>33</v>
      </c>
      <c r="B7" s="14" t="n">
        <v>70</v>
      </c>
      <c r="C7" s="14" t="n">
        <v>66</v>
      </c>
      <c r="D7" s="14" t="n">
        <v>2000</v>
      </c>
      <c r="E7" s="14" t="n">
        <v>15</v>
      </c>
      <c r="F7" s="14" t="n">
        <v>12.9</v>
      </c>
      <c r="G7" s="14" t="n">
        <v>300</v>
      </c>
      <c r="H7" s="15" t="n">
        <f aca="false">IF(ISNUMBER(G7),G7/C7,"winner")</f>
        <v>4.54545454545455</v>
      </c>
      <c r="I7" s="15" t="n">
        <f aca="false">IF(ISNUMBER(E7),E7/C7,"winner")</f>
        <v>0.227272727272727</v>
      </c>
      <c r="J7" s="16" t="n">
        <f aca="false">IF(AND(ISNUMBER(E7),ISNUMBER(F7)),(E7-F7)/(2*E7),0.07)</f>
        <v>0.07</v>
      </c>
    </row>
    <row r="8" customFormat="false" ht="15" hidden="false" customHeight="true" outlineLevel="0" collapsed="false">
      <c r="A8" s="13" t="s">
        <v>34</v>
      </c>
      <c r="B8" s="14" t="n">
        <v>70</v>
      </c>
      <c r="C8" s="14" t="n">
        <v>66</v>
      </c>
      <c r="D8" s="14" t="n">
        <v>2000</v>
      </c>
      <c r="E8" s="14" t="n">
        <v>15</v>
      </c>
      <c r="F8" s="14" t="n">
        <v>12.9</v>
      </c>
      <c r="G8" s="14" t="n">
        <v>400</v>
      </c>
      <c r="H8" s="15" t="n">
        <f aca="false">IF(ISNUMBER(G8),G8/C8,"winner")</f>
        <v>6.06060606060606</v>
      </c>
      <c r="I8" s="15" t="n">
        <f aca="false">IF(ISNUMBER(E8),E8/C8,"winner")</f>
        <v>0.227272727272727</v>
      </c>
      <c r="J8" s="16" t="n">
        <f aca="false">IF(AND(ISNUMBER(E8),ISNUMBER(F8)),(E8-F8)/(2*E8),0.07)</f>
        <v>0.07</v>
      </c>
    </row>
    <row r="9" customFormat="false" ht="15" hidden="false" customHeight="true" outlineLevel="0" collapsed="false">
      <c r="A9" s="17" t="s">
        <v>35</v>
      </c>
      <c r="B9" s="18" t="n">
        <v>70</v>
      </c>
      <c r="C9" s="18" t="n">
        <v>66</v>
      </c>
      <c r="D9" s="18" t="n">
        <v>2000</v>
      </c>
      <c r="E9" s="18" t="n">
        <v>15</v>
      </c>
      <c r="F9" s="18" t="n">
        <v>12.9</v>
      </c>
      <c r="G9" s="19" t="s">
        <v>36</v>
      </c>
      <c r="H9" s="20" t="str">
        <f aca="false">IF(ISNUMBER(G9),G9/C9,"winner")</f>
        <v>winner</v>
      </c>
      <c r="I9" s="21" t="n">
        <f aca="false">IF(ISNUMBER(E9),E9/C9,"winner")</f>
        <v>0.227272727272727</v>
      </c>
      <c r="J9" s="22" t="n">
        <f aca="false">IF(AND(ISNUMBER(E9),ISNUMBER(F9)),(E9-F9)/(2*E9),0.07)</f>
        <v>0.07</v>
      </c>
    </row>
    <row r="10" customFormat="false" ht="15" hidden="false" customHeight="true" outlineLevel="0" collapsed="false">
      <c r="A10" s="17" t="s">
        <v>37</v>
      </c>
      <c r="B10" s="18" t="n">
        <v>70</v>
      </c>
      <c r="C10" s="18" t="n">
        <v>66</v>
      </c>
      <c r="D10" s="18" t="n">
        <v>2000</v>
      </c>
      <c r="E10" s="18" t="n">
        <v>25</v>
      </c>
      <c r="F10" s="18" t="n">
        <v>21.5</v>
      </c>
      <c r="G10" s="19" t="s">
        <v>36</v>
      </c>
      <c r="H10" s="20" t="str">
        <f aca="false">IF(ISNUMBER(G10),G10/C10,"winner")</f>
        <v>winner</v>
      </c>
      <c r="I10" s="21" t="n">
        <f aca="false">IF(ISNUMBER(E10),E10/C10,"winner")</f>
        <v>0.378787878787879</v>
      </c>
      <c r="J10" s="22" t="n">
        <f aca="false">IF(AND(ISNUMBER(E10),ISNUMBER(F10)),(E10-F10)/(2*E10),0.07)</f>
        <v>0.07</v>
      </c>
    </row>
    <row r="11" customFormat="false" ht="15" hidden="false" customHeight="true" outlineLevel="0" collapsed="false">
      <c r="A11" s="17" t="s">
        <v>38</v>
      </c>
      <c r="B11" s="18" t="n">
        <v>70</v>
      </c>
      <c r="C11" s="18" t="n">
        <v>66</v>
      </c>
      <c r="D11" s="18" t="n">
        <v>2000</v>
      </c>
      <c r="E11" s="18" t="n">
        <v>35</v>
      </c>
      <c r="F11" s="18" t="n">
        <v>30.1</v>
      </c>
      <c r="G11" s="19" t="s">
        <v>36</v>
      </c>
      <c r="H11" s="20" t="str">
        <f aca="false">IF(ISNUMBER(G11),G11/C11,"winner")</f>
        <v>winner</v>
      </c>
      <c r="I11" s="21" t="n">
        <f aca="false">IF(ISNUMBER(E11),E11/C11,"winner")</f>
        <v>0.53030303030303</v>
      </c>
      <c r="J11" s="22" t="n">
        <f aca="false">IF(AND(ISNUMBER(E11),ISNUMBER(F11)),(E11-F11)/(2*E11),0.07)</f>
        <v>0.07</v>
      </c>
    </row>
    <row r="12" customFormat="false" ht="15" hidden="false" customHeight="true" outlineLevel="0" collapsed="false">
      <c r="A12" s="13" t="s">
        <v>39</v>
      </c>
      <c r="B12" s="14" t="n">
        <v>70</v>
      </c>
      <c r="C12" s="14" t="n">
        <v>66</v>
      </c>
      <c r="D12" s="14" t="n">
        <v>2000</v>
      </c>
      <c r="E12" s="23" t="s">
        <v>36</v>
      </c>
      <c r="F12" s="23" t="s">
        <v>36</v>
      </c>
      <c r="G12" s="23" t="s">
        <v>36</v>
      </c>
      <c r="H12" s="24" t="str">
        <f aca="false">IF(ISNUMBER(G12),G12/C12,"winner")</f>
        <v>winner</v>
      </c>
      <c r="I12" s="24" t="str">
        <f aca="false">IF(ISNUMBER(E12),E12/C12,"winner")</f>
        <v>winner</v>
      </c>
      <c r="J12" s="16" t="n">
        <f aca="false">IF(AND(ISNUMBER(E12),ISNUMBER(F12)),(E12-F12)/(2*E12),0.07)</f>
        <v>0.07</v>
      </c>
    </row>
    <row r="13" customFormat="false" ht="15" hidden="false" customHeight="true" outlineLevel="0" collapsed="false">
      <c r="A13" s="13" t="s">
        <v>40</v>
      </c>
      <c r="B13" s="14" t="n">
        <v>70</v>
      </c>
      <c r="C13" s="14" t="n">
        <v>66</v>
      </c>
      <c r="D13" s="14" t="n">
        <v>2000</v>
      </c>
      <c r="E13" s="23" t="s">
        <v>36</v>
      </c>
      <c r="F13" s="23" t="s">
        <v>36</v>
      </c>
      <c r="G13" s="23" t="s">
        <v>36</v>
      </c>
      <c r="H13" s="24" t="str">
        <f aca="false">IF(ISNUMBER(G13),G13/C13,"winner")</f>
        <v>winner</v>
      </c>
      <c r="I13" s="24" t="str">
        <f aca="false">IF(ISNUMBER(E13),E13/C13,"winner")</f>
        <v>winner</v>
      </c>
      <c r="J13" s="16" t="n">
        <f aca="false">IF(AND(ISNUMBER(E13),ISNUMBER(F13)),(E13-F13)/(2*E13),0.1)</f>
        <v>0.1</v>
      </c>
    </row>
    <row r="14" customFormat="false" ht="15" hidden="false" customHeight="true" outlineLevel="0" collapsed="false">
      <c r="A14" s="13" t="s">
        <v>41</v>
      </c>
      <c r="B14" s="14" t="n">
        <v>70</v>
      </c>
      <c r="C14" s="14" t="n">
        <v>66</v>
      </c>
      <c r="D14" s="14" t="n">
        <v>2000</v>
      </c>
      <c r="E14" s="23" t="s">
        <v>36</v>
      </c>
      <c r="F14" s="23" t="s">
        <v>36</v>
      </c>
      <c r="G14" s="23" t="s">
        <v>36</v>
      </c>
      <c r="H14" s="24" t="str">
        <f aca="false">IF(ISNUMBER(G14),G14/C14,"winner")</f>
        <v>winner</v>
      </c>
      <c r="I14" s="24" t="str">
        <f aca="false">IF(ISNUMBER(E14),E14/C14,"winner")</f>
        <v>winner</v>
      </c>
      <c r="J14" s="16" t="n">
        <f aca="false">IF(AND(ISNUMBER(E14),ISNUMBER(F14)),(E14-F14)/(2*E14),0.13)</f>
        <v>0.13</v>
      </c>
    </row>
  </sheetData>
  <mergeCells count="3">
    <mergeCell ref="A1:J1"/>
    <mergeCell ref="A2:J2"/>
    <mergeCell ref="A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10"/>
    <col collapsed="false" customWidth="true" hidden="false" outlineLevel="0" max="6" min="4" style="0" width="14"/>
    <col collapsed="false" customWidth="true" hidden="false" outlineLevel="0" max="7" min="7" style="0" width="12"/>
    <col collapsed="false" customWidth="true" hidden="false" outlineLevel="0" max="9" min="8" style="0" width="14"/>
    <col collapsed="false" customWidth="true" hidden="false" outlineLevel="0" max="11" min="10" style="0" width="10"/>
    <col collapsed="false" customWidth="true" hidden="false" outlineLevel="0" max="12" min="12" style="0" width="12"/>
    <col collapsed="false" customWidth="true" hidden="false" outlineLevel="0" max="14" min="13" style="0" width="14"/>
    <col collapsed="false" customWidth="true" hidden="false" outlineLevel="0" max="20" min="15" style="0" width="10"/>
    <col collapsed="false" customWidth="true" hidden="false" outlineLevel="0" max="22" min="21" style="0" width="12"/>
    <col collapsed="false" customWidth="true" hidden="false" outlineLevel="0" max="23" min="23" style="0" width="10"/>
    <col collapsed="false" customWidth="true" hidden="false" outlineLevel="0" max="24" min="24" style="0" width="30"/>
  </cols>
  <sheetData>
    <row r="1" customFormat="false" ht="17.35" hidden="false" customHeight="false" outlineLevel="0" collapsed="false">
      <c r="A1" s="25" t="s">
        <v>42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</row>
    <row r="2" customFormat="false" ht="15" hidden="false" customHeight="false" outlineLevel="0" collapsed="false">
      <c r="A2" s="26" t="s">
        <v>43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</row>
    <row r="4" customFormat="false" ht="42" hidden="false" customHeight="true" outlineLevel="0" collapsed="false">
      <c r="A4" s="27" t="s">
        <v>44</v>
      </c>
      <c r="B4" s="27" t="s">
        <v>45</v>
      </c>
      <c r="C4" s="27" t="s">
        <v>46</v>
      </c>
      <c r="D4" s="27" t="s">
        <v>47</v>
      </c>
      <c r="E4" s="27" t="s">
        <v>48</v>
      </c>
      <c r="F4" s="27" t="s">
        <v>49</v>
      </c>
      <c r="G4" s="27" t="s">
        <v>50</v>
      </c>
      <c r="H4" s="27" t="s">
        <v>51</v>
      </c>
      <c r="I4" s="27" t="s">
        <v>52</v>
      </c>
      <c r="J4" s="27" t="s">
        <v>53</v>
      </c>
      <c r="K4" s="27" t="s">
        <v>54</v>
      </c>
      <c r="L4" s="27" t="s">
        <v>55</v>
      </c>
      <c r="M4" s="27" t="s">
        <v>56</v>
      </c>
      <c r="N4" s="27" t="s">
        <v>57</v>
      </c>
      <c r="O4" s="27" t="s">
        <v>58</v>
      </c>
      <c r="P4" s="27" t="s">
        <v>59</v>
      </c>
      <c r="Q4" s="27" t="s">
        <v>60</v>
      </c>
      <c r="R4" s="27" t="s">
        <v>61</v>
      </c>
      <c r="S4" s="27" t="s">
        <v>62</v>
      </c>
      <c r="T4" s="27" t="s">
        <v>63</v>
      </c>
      <c r="U4" s="27" t="s">
        <v>64</v>
      </c>
      <c r="V4" s="27" t="s">
        <v>65</v>
      </c>
      <c r="W4" s="27" t="s">
        <v>66</v>
      </c>
      <c r="X4" s="27" t="s">
        <v>67</v>
      </c>
    </row>
    <row r="5" customFormat="false" ht="25.35" hidden="false" customHeight="false" outlineLevel="0" collapsed="false">
      <c r="A5" s="8" t="n">
        <v>1</v>
      </c>
      <c r="B5" s="8" t="s">
        <v>68</v>
      </c>
      <c r="C5" s="6" t="n">
        <v>2.96</v>
      </c>
      <c r="D5" s="6" t="s">
        <v>69</v>
      </c>
      <c r="E5" s="6" t="s">
        <v>70</v>
      </c>
      <c r="F5" s="6" t="s">
        <v>71</v>
      </c>
      <c r="G5" s="6" t="s">
        <v>72</v>
      </c>
      <c r="H5" s="6" t="s">
        <v>73</v>
      </c>
      <c r="I5" s="6" t="n">
        <v>0.006959</v>
      </c>
      <c r="J5" s="6" t="n">
        <v>15</v>
      </c>
      <c r="K5" s="6" t="n">
        <v>1.2</v>
      </c>
      <c r="L5" s="6" t="s">
        <v>74</v>
      </c>
      <c r="M5" s="6" t="s">
        <v>73</v>
      </c>
      <c r="N5" s="6" t="n">
        <v>0.006959</v>
      </c>
      <c r="O5" s="6" t="n">
        <v>15</v>
      </c>
      <c r="P5" s="6" t="n">
        <v>1.2</v>
      </c>
      <c r="Q5" s="8" t="n">
        <v>1598419</v>
      </c>
      <c r="R5" s="8" t="n">
        <v>4367793</v>
      </c>
      <c r="S5" s="8" t="n">
        <v>0.90002</v>
      </c>
      <c r="T5" s="8" t="n">
        <v>1.4603E-006</v>
      </c>
      <c r="U5" s="8" t="n">
        <v>0.99568</v>
      </c>
      <c r="V5" s="9" t="n">
        <v>0.0037671</v>
      </c>
      <c r="W5" s="28" t="n">
        <f aca="false">V5/0.01</f>
        <v>0.37671</v>
      </c>
      <c r="X5" s="29" t="str">
        <f aca="false">IF(V5&lt;0.01,"BELOW 0.01 BAR — check convergence before trusting this run","OK")</f>
        <v>BELOW 0.01 BAR — check convergence before trusting this run</v>
      </c>
    </row>
    <row r="7" customFormat="false" ht="15" hidden="false" customHeight="false" outlineLevel="0" collapsed="false">
      <c r="A7" s="30" t="s">
        <v>75</v>
      </c>
      <c r="B7" s="30"/>
      <c r="C7" s="30"/>
      <c r="D7" s="30"/>
      <c r="E7" s="30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</row>
    <row r="8" customFormat="false" ht="15" hidden="false" customHeight="false" outlineLevel="0" collapsed="false">
      <c r="A8" s="30" t="s">
        <v>76</v>
      </c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</row>
  </sheetData>
  <mergeCells count="4">
    <mergeCell ref="A1:X1"/>
    <mergeCell ref="A2:X2"/>
    <mergeCell ref="A7:X7"/>
    <mergeCell ref="A8:X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2026-08-25T11:17:49Z</dcterms:created>
  <dc:creator>openpyxl</dc:creator>
  <dc:description/>
  <dc:language>en-US</dc:language>
  <cp:lastModifiedBy/>
  <dcterms:modified xsi:type="dcterms:W3CDTF">2026-08-25T12:17:04Z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