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  <sheet name="Geometry Screening Pla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<sst xmlns="http://schemas.openxmlformats.org/spreadsheetml/2006/main" count="58" uniqueCount="41">
  <si>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</si>
  <si>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</si>
  <si>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</si>
  <si>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</si>
  <si>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</si>
  <si>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</si>
  <si>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</si>
  <si>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</si>
  <si>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</si>
  <si>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</si>
  <si>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</si>
  <si>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</si>
  <si>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</si>
  <si>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</si>
  <si>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</si>
  <si>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</si>
  <si>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</si>
  <si>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</si>
  <si>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</si>
  <si>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</si>
  <si>
    <t xml:space="preserve">Geometry Screening Plan — one factor at a time</t>
  </si>
  <si>
    <t xml:space="preserve">9 planned runs. "winner" means that value isn't known yet — it depends on a result from an earlier stage. Replace a "winner" cell with the real number once that stage has been run, and every formula in this sheet updates itself.</t>
  </si>
  <si>
    <t xml:space="preserve">Testing</t>
  </si>
  <si>
    <t xml:space="preserve">dti</t>
  </si>
  <si>
    <t xml:space="preserve">Pt</t>
  </si>
  <si>
    <t xml:space="preserve">dpo</t>
  </si>
  <si>
    <t xml:space="preserve">tp</t>
  </si>
  <si>
    <t xml:space="preserve">dpi</t>
  </si>
  <si>
    <t xml:space="preserve">Pt/dti</t>
  </si>
  <si>
    <t xml:space="preserve">dpo/dti</t>
  </si>
  <si>
    <t xml:space="preserve">tp/dpo</t>
  </si>
  <si>
    <t xml:space="preserve">Twist pitch, level 1</t>
  </si>
  <si>
    <t xml:space="preserve">Twist pitch, level 2</t>
  </si>
  <si>
    <t xml:space="preserve">Twist pitch, level 3</t>
  </si>
  <si>
    <t xml:space="preserve">Promoter size, level 1</t>
  </si>
  <si>
    <t xml:space="preserve">winner</t>
  </si>
  <si>
    <t xml:space="preserve">Promoter size, level 2</t>
  </si>
  <si>
    <t xml:space="preserve">Promoter size, level 3</t>
  </si>
  <si>
    <t xml:space="preserve">Wall thickness, level 1</t>
  </si>
  <si>
    <t xml:space="preserve">Wall thickness, level 2</t>
  </si>
  <si>
    <t xml:space="preserve">Wall thickness, level 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</si>
</sst>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0;;;General"/>
    <numFmt numFmtId="167" formatCode="0.0;;;General"/>
    <numFmt numFmtId="168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70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66</v>
      </c>
      <c r="C6" s="7" t="s">
        <v>4</v>
      </c>
    </row>
    <row r="7" customFormat="false" ht="15" hidden="false" customHeight="true" outlineLevel="0" collapsed="false">
      <c r="A7" s="5" t="s">
        <v>6</v>
      </c>
      <c r="B7" s="8" t="n">
        <f aca="false">(B5-B6)/2</f>
        <v>2</v>
      </c>
      <c r="C7" s="7" t="s">
        <v>4</v>
      </c>
    </row>
    <row r="8" customFormat="false" ht="15" hidden="false" customHeight="true" outlineLevel="0" collapsed="false">
      <c r="A8" s="5" t="s">
        <v>7</v>
      </c>
      <c r="B8" s="6" t="n">
        <v>2000</v>
      </c>
      <c r="C8" s="7" t="s">
        <v>4</v>
      </c>
      <c r="D8" s="3" t="s">
        <v>8</v>
      </c>
    </row>
    <row r="9" customFormat="false" ht="15" hidden="false" customHeight="true" outlineLevel="0" collapsed="false">
      <c r="A9" s="5" t="s">
        <v>9</v>
      </c>
      <c r="B9" s="6" t="s">
        <v>10</v>
      </c>
      <c r="C9" s="7"/>
    </row>
    <row r="11" customFormat="false" ht="15" hidden="false" customHeight="true" outlineLevel="0" collapsed="false">
      <c r="A11" s="4" t="s">
        <v>11</v>
      </c>
      <c r="B11" s="4"/>
      <c r="C11" s="4"/>
    </row>
    <row r="12" customFormat="false" ht="15" hidden="false" customHeight="true" outlineLevel="0" collapsed="false">
      <c r="A12" s="5" t="s">
        <v>12</v>
      </c>
      <c r="B12" s="6" t="n">
        <v>25</v>
      </c>
      <c r="C12" s="7" t="s">
        <v>4</v>
      </c>
    </row>
    <row r="13" customFormat="false" ht="15" hidden="false" customHeight="true" outlineLevel="0" collapsed="false">
      <c r="A13" s="5" t="s">
        <v>13</v>
      </c>
      <c r="B13" s="6" t="n">
        <v>21</v>
      </c>
      <c r="C13" s="7" t="s">
        <v>4</v>
      </c>
    </row>
    <row r="14" customFormat="false" ht="15" hidden="false" customHeight="true" outlineLevel="0" collapsed="false">
      <c r="A14" s="5" t="s">
        <v>14</v>
      </c>
      <c r="B14" s="8" t="n">
        <f aca="false">(B12-B13)/2</f>
        <v>2</v>
      </c>
      <c r="C14" s="7" t="s">
        <v>4</v>
      </c>
    </row>
    <row r="15" customFormat="false" ht="15" hidden="false" customHeight="true" outlineLevel="0" collapsed="false">
      <c r="A15" s="5" t="s">
        <v>15</v>
      </c>
      <c r="B15" s="6" t="n">
        <v>200</v>
      </c>
      <c r="C15" s="7" t="s">
        <v>4</v>
      </c>
    </row>
    <row r="16" customFormat="false" ht="15" hidden="false" customHeight="true" outlineLevel="0" collapsed="false">
      <c r="A16" s="5" t="s">
        <v>9</v>
      </c>
      <c r="B16" s="6" t="s">
        <v>10</v>
      </c>
      <c r="C16" s="7"/>
    </row>
    <row r="18" customFormat="false" ht="15" hidden="false" customHeight="true" outlineLevel="0" collapsed="false">
      <c r="A18" s="4" t="s">
        <v>16</v>
      </c>
      <c r="B18" s="4"/>
      <c r="C18" s="4"/>
    </row>
    <row r="19" customFormat="false" ht="15" hidden="false" customHeight="true" outlineLevel="0" collapsed="false">
      <c r="A19" s="5" t="s">
        <v>17</v>
      </c>
      <c r="B19" s="8" t="n">
        <f aca="false">B15/B6</f>
        <v>3.03030303030303</v>
      </c>
      <c r="C19" s="7"/>
    </row>
    <row r="20" customFormat="false" ht="15" hidden="false" customHeight="true" outlineLevel="0" collapsed="false">
      <c r="A20" s="5" t="s">
        <v>18</v>
      </c>
      <c r="B20" s="8" t="n">
        <f aca="false">B12/B6</f>
        <v>0.378787878787879</v>
      </c>
      <c r="C20" s="7"/>
    </row>
    <row r="21" customFormat="false" ht="15" hidden="false" customHeight="true" outlineLevel="0" collapsed="false">
      <c r="A21" s="5" t="s">
        <v>19</v>
      </c>
      <c r="B21" s="8" t="n">
        <f aca="false">B14/B12</f>
        <v>0.08</v>
      </c>
      <c r="C21" s="7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4" min="3" style="0" width="9"/>
    <col collapsed="false" customWidth="true" hidden="false" outlineLevel="0" max="6" min="5" style="0" width="8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9" t="s">
        <v>20</v>
      </c>
      <c r="B1" s="9"/>
      <c r="C1" s="9"/>
      <c r="D1" s="9"/>
      <c r="E1" s="9"/>
      <c r="F1" s="9"/>
      <c r="G1" s="9"/>
      <c r="H1" s="9"/>
      <c r="I1" s="9"/>
    </row>
    <row r="2" customFormat="false" ht="15" hidden="false" customHeight="false" outlineLevel="0" collapsed="false">
      <c r="A2" s="10" t="s">
        <v>21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11" t="s">
        <v>22</v>
      </c>
      <c r="B4" s="11" t="s">
        <v>23</v>
      </c>
      <c r="C4" s="11" t="s">
        <v>24</v>
      </c>
      <c r="D4" s="11" t="s">
        <v>25</v>
      </c>
      <c r="E4" s="11" t="s">
        <v>26</v>
      </c>
      <c r="F4" s="11" t="s">
        <v>27</v>
      </c>
      <c r="G4" s="11" t="s">
        <v>28</v>
      </c>
      <c r="H4" s="11" t="s">
        <v>29</v>
      </c>
      <c r="I4" s="11" t="s">
        <v>30</v>
      </c>
    </row>
    <row r="5" customFormat="false" ht="15" hidden="false" customHeight="false" outlineLevel="0" collapsed="false">
      <c r="A5" s="12" t="s">
        <v>31</v>
      </c>
      <c r="B5" s="13" t="n">
        <v>66</v>
      </c>
      <c r="C5" s="13" t="n">
        <v>200</v>
      </c>
      <c r="D5" s="13" t="n">
        <v>15</v>
      </c>
      <c r="E5" s="14" t="n">
        <f aca="false">IF(ISNUMBER(D5),D5*I5,"winner")</f>
        <v>1.05</v>
      </c>
      <c r="F5" s="15" t="n">
        <f aca="false">IF(ISNUMBER(D5),D5-2*E5,"winner")</f>
        <v>12.9</v>
      </c>
      <c r="G5" s="14" t="n">
        <f aca="false">IF(ISNUMBER(C5),C5/B5,"winner")</f>
        <v>3.03030303030303</v>
      </c>
      <c r="H5" s="14" t="n">
        <f aca="false">IF(ISNUMBER(D5),D5/B5,"winner")</f>
        <v>0.227272727272727</v>
      </c>
      <c r="I5" s="16" t="n">
        <v>0.07</v>
      </c>
    </row>
    <row r="6" customFormat="false" ht="15" hidden="false" customHeight="false" outlineLevel="0" collapsed="false">
      <c r="A6" s="12" t="s">
        <v>32</v>
      </c>
      <c r="B6" s="13" t="n">
        <v>66</v>
      </c>
      <c r="C6" s="13" t="n">
        <v>300</v>
      </c>
      <c r="D6" s="13" t="n">
        <v>15</v>
      </c>
      <c r="E6" s="14" t="n">
        <f aca="false">IF(ISNUMBER(D6),D6*I6,"winner")</f>
        <v>1.05</v>
      </c>
      <c r="F6" s="15" t="n">
        <f aca="false">IF(ISNUMBER(D6),D6-2*E6,"winner")</f>
        <v>12.9</v>
      </c>
      <c r="G6" s="14" t="n">
        <f aca="false">IF(ISNUMBER(C6),C6/B6,"winner")</f>
        <v>4.54545454545455</v>
      </c>
      <c r="H6" s="14" t="n">
        <f aca="false">IF(ISNUMBER(D6),D6/B6,"winner")</f>
        <v>0.227272727272727</v>
      </c>
      <c r="I6" s="16" t="n">
        <v>0.07</v>
      </c>
    </row>
    <row r="7" customFormat="false" ht="15" hidden="false" customHeight="false" outlineLevel="0" collapsed="false">
      <c r="A7" s="12" t="s">
        <v>33</v>
      </c>
      <c r="B7" s="13" t="n">
        <v>66</v>
      </c>
      <c r="C7" s="13" t="n">
        <v>400</v>
      </c>
      <c r="D7" s="13" t="n">
        <v>15</v>
      </c>
      <c r="E7" s="14" t="n">
        <f aca="false">IF(ISNUMBER(D7),D7*I7,"winner")</f>
        <v>1.05</v>
      </c>
      <c r="F7" s="15" t="n">
        <f aca="false">IF(ISNUMBER(D7),D7-2*E7,"winner")</f>
        <v>12.9</v>
      </c>
      <c r="G7" s="14" t="n">
        <f aca="false">IF(ISNUMBER(C7),C7/B7,"winner")</f>
        <v>6.06060606060606</v>
      </c>
      <c r="H7" s="14" t="n">
        <f aca="false">IF(ISNUMBER(D7),D7/B7,"winner")</f>
        <v>0.227272727272727</v>
      </c>
      <c r="I7" s="16" t="n">
        <v>0.07</v>
      </c>
    </row>
    <row r="8" customFormat="false" ht="15" hidden="false" customHeight="false" outlineLevel="0" collapsed="false">
      <c r="A8" s="17" t="s">
        <v>34</v>
      </c>
      <c r="B8" s="18" t="n">
        <v>66</v>
      </c>
      <c r="C8" s="18" t="s">
        <v>35</v>
      </c>
      <c r="D8" s="18" t="n">
        <v>15</v>
      </c>
      <c r="E8" s="19" t="n">
        <f aca="false">IF(ISNUMBER(D8),D8*I8,"winner")</f>
        <v>1.05</v>
      </c>
      <c r="F8" s="20" t="n">
        <f aca="false">IF(ISNUMBER(D8),D8-2*E8,"winner")</f>
        <v>12.9</v>
      </c>
      <c r="G8" s="19" t="str">
        <f aca="false">IF(ISNUMBER(C8),C8/B8,"winner")</f>
        <v>winner</v>
      </c>
      <c r="H8" s="19" t="n">
        <f aca="false">IF(ISNUMBER(D8),D8/B8,"winner")</f>
        <v>0.227272727272727</v>
      </c>
      <c r="I8" s="21" t="n">
        <v>0.07</v>
      </c>
    </row>
    <row r="9" customFormat="false" ht="15" hidden="false" customHeight="false" outlineLevel="0" collapsed="false">
      <c r="A9" s="17" t="s">
        <v>36</v>
      </c>
      <c r="B9" s="18" t="n">
        <v>66</v>
      </c>
      <c r="C9" s="18" t="s">
        <v>35</v>
      </c>
      <c r="D9" s="18" t="n">
        <v>25</v>
      </c>
      <c r="E9" s="19" t="n">
        <f aca="false">IF(ISNUMBER(D9),D9*I9,"winner")</f>
        <v>1.75</v>
      </c>
      <c r="F9" s="20" t="n">
        <f aca="false">IF(ISNUMBER(D9),D9-2*E9,"winner")</f>
        <v>21.5</v>
      </c>
      <c r="G9" s="19" t="str">
        <f aca="false">IF(ISNUMBER(C9),C9/B9,"winner")</f>
        <v>winner</v>
      </c>
      <c r="H9" s="19" t="n">
        <f aca="false">IF(ISNUMBER(D9),D9/B9,"winner")</f>
        <v>0.378787878787879</v>
      </c>
      <c r="I9" s="21" t="n">
        <v>0.07</v>
      </c>
    </row>
    <row r="10" customFormat="false" ht="15" hidden="false" customHeight="false" outlineLevel="0" collapsed="false">
      <c r="A10" s="17" t="s">
        <v>37</v>
      </c>
      <c r="B10" s="18" t="n">
        <v>66</v>
      </c>
      <c r="C10" s="18" t="s">
        <v>35</v>
      </c>
      <c r="D10" s="18" t="n">
        <v>35</v>
      </c>
      <c r="E10" s="19" t="n">
        <f aca="false">IF(ISNUMBER(D10),D10*I10,"winner")</f>
        <v>2.45</v>
      </c>
      <c r="F10" s="20" t="n">
        <f aca="false">IF(ISNUMBER(D10),D10-2*E10,"winner")</f>
        <v>30.1</v>
      </c>
      <c r="G10" s="19" t="str">
        <f aca="false">IF(ISNUMBER(C10),C10/B10,"winner")</f>
        <v>winner</v>
      </c>
      <c r="H10" s="19" t="n">
        <f aca="false">IF(ISNUMBER(D10),D10/B10,"winner")</f>
        <v>0.53030303030303</v>
      </c>
      <c r="I10" s="21" t="n">
        <v>0.07</v>
      </c>
    </row>
    <row r="11" customFormat="false" ht="15" hidden="false" customHeight="false" outlineLevel="0" collapsed="false">
      <c r="A11" s="12" t="s">
        <v>38</v>
      </c>
      <c r="B11" s="13" t="n">
        <v>66</v>
      </c>
      <c r="C11" s="13" t="s">
        <v>35</v>
      </c>
      <c r="D11" s="13" t="s">
        <v>35</v>
      </c>
      <c r="E11" s="14" t="str">
        <f aca="false">IF(ISNUMBER(D11),D11*I11,"winner")</f>
        <v>winner</v>
      </c>
      <c r="F11" s="15" t="str">
        <f aca="false">IF(ISNUMBER(D11),D11-2*E11,"winner")</f>
        <v>winner</v>
      </c>
      <c r="G11" s="14" t="str">
        <f aca="false">IF(ISNUMBER(C11),C11/B11,"winner")</f>
        <v>winner</v>
      </c>
      <c r="H11" s="14" t="str">
        <f aca="false">IF(ISNUMBER(D11),D11/B11,"winner")</f>
        <v>winner</v>
      </c>
      <c r="I11" s="16" t="n">
        <v>0.07</v>
      </c>
    </row>
    <row r="12" customFormat="false" ht="15" hidden="false" customHeight="false" outlineLevel="0" collapsed="false">
      <c r="A12" s="12" t="s">
        <v>39</v>
      </c>
      <c r="B12" s="13" t="n">
        <v>66</v>
      </c>
      <c r="C12" s="13" t="s">
        <v>35</v>
      </c>
      <c r="D12" s="13" t="s">
        <v>35</v>
      </c>
      <c r="E12" s="14" t="str">
        <f aca="false">IF(ISNUMBER(D12),D12*I12,"winner")</f>
        <v>winner</v>
      </c>
      <c r="F12" s="15" t="str">
        <f aca="false">IF(ISNUMBER(D12),D12-2*E12,"winner")</f>
        <v>winner</v>
      </c>
      <c r="G12" s="14" t="str">
        <f aca="false">IF(ISNUMBER(C12),C12/B12,"winner")</f>
        <v>winner</v>
      </c>
      <c r="H12" s="14" t="str">
        <f aca="false">IF(ISNUMBER(D12),D12/B12,"winner")</f>
        <v>winner</v>
      </c>
      <c r="I12" s="16" t="n">
        <v>0.1</v>
      </c>
    </row>
    <row r="13" customFormat="false" ht="15" hidden="false" customHeight="false" outlineLevel="0" collapsed="false">
      <c r="A13" s="12" t="s">
        <v>40</v>
      </c>
      <c r="B13" s="13" t="n">
        <v>66</v>
      </c>
      <c r="C13" s="13" t="s">
        <v>35</v>
      </c>
      <c r="D13" s="13" t="s">
        <v>35</v>
      </c>
      <c r="E13" s="14" t="str">
        <f aca="false">IF(ISNUMBER(D13),D13*I13,"winner")</f>
        <v>winner</v>
      </c>
      <c r="F13" s="15" t="str">
        <f aca="false">IF(ISNUMBER(D13),D13-2*E13,"winner")</f>
        <v>winner</v>
      </c>
      <c r="G13" s="14" t="str">
        <f aca="false">IF(ISNUMBER(C13),C13/B13,"winner")</f>
        <v>winner</v>
      </c>
      <c r="H13" s="14" t="str">
        <f aca="false">IF(ISNUMBER(D13),D13/B13,"winner")</f>
        <v>winner</v>
      </c>
      <c r="I13" s="16" t="n">
        <v>0.13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2026-08-25T11:27:57Z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