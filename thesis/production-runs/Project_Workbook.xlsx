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  <sheet name="Stage 1 - Pt Sweep (18 Runs)" sheetId="4" state="visible" r:id="rId6"/>
    <sheet name="Stage 1 - PEC Analysi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<sst xmlns="http://schemas.openxmlformats.org/spreadsheetml/2006/main" count="260" uniqueCount="199">
  <si>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</si>
  <si>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</si>
  <si>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</si>
  <si>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</si>
  <si>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</si>
  <si>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</si>
  <si>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</si>
  <si>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</si>
  <si>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</si>
  <si>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</si>
  <si>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</si>
  <si>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</si>
  <si>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</si>
  <si>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</si>
  <si>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</si>
  <si>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</si>
  <si>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</si>
  <si>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</si>
  <si>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</si>
  <si>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</si>
  <si>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</si>
  <si>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</si>
  <si>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</si>
  <si>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</si>
  <si>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</si>
  <si>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</si>
  <si>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</si>
  <si>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</si>
  <si>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</si>
  <si>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</si>
  <si>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</si>
  <si>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</si>
  <si>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</si>
  <si>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</si>
  <si>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</si>
  <si>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</si>
  <si>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</si>
  <si>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</si>
  <si>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</si>
  <si>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</si>
  <si>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</si>
  <si>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</si>
  <si>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</si>
  <si>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Green = corrected and now passes. Red = still below the 0.01 Min Orthogonal Quality bar.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</si>
  <si>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</si>
  <si>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</si>
  <si>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</si>
  <si>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</si>
  <si>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</si>
  <si>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</si>
  <si>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</si>
  <si>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</si>
  <si>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First Layer Height (mm)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</si>
  <si>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</si>
  <si>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</si>
  <si>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</si>
  <si>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</si>
  <si>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First Layer Height (mm)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</si>
  <si>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</si>
  <si>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</si>
  <si>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</si>
  <si>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</si>
  <si>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</si>
  <si>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</si>
  <si>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</si>
  <si>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</si>
  <si>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</si>
  <si>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</si>
  <si>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</si>
  <si>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</si>
  <si>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</si>
  <si>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</si>
  <si>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</si>
  <si>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First Layer Thickness</t>
  </si>
  <si>
    <t xml:space="preserve">4 Faces</t>
  </si>
  <si>
    <t xml:space="preserve">RESOLVED: Inflation Option corrected to "First Layer Thickness" (First Layer Height 0.006959mm), matching the documented adopted method in gci_mesh_plan.md. This changed the mesh slightly (was 1,598,419 nodes / 4,367,793 elements with the wrong setting, now 1,587,332 / 4,301,495).</t>
  </si>
  <si>
    <t xml:space="preserve">RESOLVED: Min Orthogonal Quality moved from 0.0037671 (well below the 0.01 bar) to 0.01175 — now clears it. Worth noting this is still a narrow pass, only 17.5% above the bar, in the same tight range that caused Runs 8 and 16 to fail (0.0092–0.0097). Watch this promoter-size level if you see convergence trouble.</t>
  </si>
  <si>
    <t xml:space="preserve">Stage 1 - Twist Pitch Ratio (Pt/dti) Sweep - 18 Runs (3 Pt levels x 6 Re points)</t>
  </si>
  <si>
    <t xml:space="preserve">Mirrors the senior's method: each geometry gets its own Nu/f/PEC curve across Re = 5000-30000 (6 points), not just one representative Re. Type raw Fluent report values into the YELLOW cells only. Black cells are formulas and recalculate automatically. Blue cells are locked run-plan inputs.</t>
  </si>
  <si>
    <t xml:space="preserve">Fixed constants (Stage 1: dpo/dpi held at Promoter-size Level 1, tp/dpo = 0.07)</t>
  </si>
  <si>
    <t xml:space="preserve">dti (tube ID)</t>
  </si>
  <si>
    <t xml:space="preserve">m</t>
  </si>
  <si>
    <t xml:space="preserve">Geometry Information sheet</t>
  </si>
  <si>
    <t xml:space="preserve">dto (tube OD)</t>
  </si>
  <si>
    <t xml:space="preserve">L (tube length)</t>
  </si>
  <si>
    <t xml:space="preserve">dpo (Level 1)</t>
  </si>
  <si>
    <t xml:space="preserve">Geometry Screening Plan, row 'Twist pitch, level 1-3'</t>
  </si>
  <si>
    <t xml:space="preserve">dpi (Level 1)</t>
  </si>
  <si>
    <t xml:space="preserve">A_annulus = PI()/4*(dti^2 - dpo^2)</t>
  </si>
  <si>
    <t xml:space="preserve">A_core = PI()/4*dpi^2</t>
  </si>
  <si>
    <t xml:space="preserve">A_total = A_annulus + A_core</t>
  </si>
  <si>
    <t xml:space="preserve">Syltherm-800 property polynomials (Table 5, Mohammed et al. 2022): psi = a + bT + cT^2 + dT^3 + eT^4</t>
  </si>
  <si>
    <t xml:space="preserve">Property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</si>
  <si>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</si>
  <si>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</si>
  <si>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</si>
  <si>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</si>
  <si>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</si>
  <si>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Density (kg/m3)</t>
  </si>
  <si>
    <t xml:space="preserve">Viscosity (Pa.s)</t>
  </si>
  <si>
    <t xml:space="preserve">Thermal conductivity (W/mK)</t>
  </si>
  <si>
    <t xml:space="preserve">Specific heat (J/kgK)</t>
  </si>
  <si>
    <t xml:space="preserve">Run 0 = smooth-tube baseline (no promoter), Re=10000 only, Tin=500K, L=2m. Extracted from PTSC_27Run_Master_Workbook.xlsx, 'Fluent Raw Results' sheet, 'Baseline' row. Mesh data and inner/outer-wall flux labeling were not specified in that source and are left blank/as-is here.</t>
  </si>
  <si>
    <t xml:space="preserve">Pt (mm)</t>
  </si>
  <si>
    <t xml:space="preserve">Re</t>
  </si>
  <si>
    <t xml:space="preserve">T_in (K)</t>
  </si>
  <si>
    <t xml:space="preserve">mdot_in (kg/s)</t>
  </si>
  <si>
    <t xml:space="preserve">mdot_out (kg/s)</t>
  </si>
  <si>
    <t xml:space="preserve">Mass bal err (%)</t>
  </si>
  <si>
    <t xml:space="preserve">p_in (Pa)</t>
  </si>
  <si>
    <t xml:space="preserve">p_out (Pa)</t>
  </si>
  <si>
    <t xml:space="preserve">dP (Pa)</t>
  </si>
  <si>
    <t xml:space="preserve">T_out (K)</t>
  </si>
  <si>
    <t xml:space="preserve">T_bulk_avg (K)</t>
  </si>
  <si>
    <t xml:space="preserve">T_wall_inner (K)</t>
  </si>
  <si>
    <t xml:space="preserve">dT (wall-bulk) (K)</t>
  </si>
  <si>
    <t xml:space="preserve">tau_wall (Pa)</t>
  </si>
  <si>
    <t xml:space="preserve">q_inner (W/m2)</t>
  </si>
  <si>
    <t xml:space="preserve">Q_total (W)</t>
  </si>
  <si>
    <t xml:space="preserve">rho_bulk (kg/m3)</t>
  </si>
  <si>
    <t xml:space="preserve">mu_bulk (Pa.s)</t>
  </si>
  <si>
    <t xml:space="preserve">k_bulk (W/mK)</t>
  </si>
  <si>
    <t xml:space="preserve">cp_bulk (J/kgK)</t>
  </si>
  <si>
    <t xml:space="preserve">u_m check (m/s)</t>
  </si>
  <si>
    <t xml:space="preserve">h (W/m2K)</t>
  </si>
  <si>
    <t xml:space="preserve">Nu</t>
  </si>
  <si>
    <t xml:space="preserve">f (Fanning)</t>
  </si>
  <si>
    <t xml:space="preserve">Element size (mm)</t>
  </si>
  <si>
    <t xml:space="preserve">Max Orth. Quality</t>
  </si>
  <si>
    <t xml:space="preserve">Min Orth. Quality</t>
  </si>
  <si>
    <t xml:space="preserve">Quality Flag</t>
  </si>
  <si>
    <t xml:space="preserve">N/A (smooth tube, no promoter)</t>
  </si>
  <si>
    <t xml:space="preserve">Stage 1 - Twist Pitch Ratio (Pt/dti): friction-factor ratio, Nusselt-number ratio and PEC</t>
  </si>
  <si>
    <t xml:space="preserve">Mirrors Section 4.2.1 of the reference thesis. Every number below is a formula driven off the 'Stage 1 - Pt Sweep (18 Runs)' sheet - add Runs 15-18 there and these rows and the charts fill in automatically.</t>
  </si>
  <si>
    <t xml:space="preserve">1. Fixed inputs</t>
  </si>
  <si>
    <t xml:space="preserve">d_ti  (tube inner diameter)</t>
  </si>
  <si>
    <t xml:space="preserve">Geometry Information</t>
  </si>
  <si>
    <t xml:space="preserve">d_po  (promoter outer size)</t>
  </si>
  <si>
    <t xml:space="preserve">Screening level 1</t>
  </si>
  <si>
    <t xml:space="preserve">d_pi  (promoter inner size)</t>
  </si>
  <si>
    <t xml:space="preserve">L     (tube length)</t>
  </si>
  <si>
    <t xml:space="preserve">T_in  (inlet temperature)</t>
  </si>
  <si>
    <t xml:space="preserve">K</t>
  </si>
  <si>
    <t xml:space="preserve">Fixed for all screening runs</t>
  </si>
  <si>
    <t xml:space="preserve">A_smooth = PI/4 * d_ti^2</t>
  </si>
  <si>
    <t xml:space="preserve">m2 - flow area, smooth tube (Run 0)</t>
  </si>
  <si>
    <t xml:space="preserve">A_enh = PI/4*(d_ti^2 - d_po^2) + PI/4*d_pi^2</t>
  </si>
  <si>
    <t xml:space="preserve">m2 - flow area with promoter</t>
  </si>
  <si>
    <t xml:space="preserve">2. Syltherm-800 properties:  psi = a + b*T + c*T^2 + d*T^3 + e*T^4   (Mohammed et al. 2022, Table 5)</t>
  </si>
  <si>
    <t xml:space="preserve">3. Smooth-tube reference (Nu_o, f_o)</t>
  </si>
  <si>
    <t xml:space="preserve">Only one smooth-tube CFD run exists (Run 0, Re = 10000). The reference curve at the other five Re points therefore comes from the Petukhov and Gnielinski correlations, SCALED so that at Re = 10000 they reproduce the Run 0 CFD result exactly. The scale factors are computed in row 26-27. When smooth-tube CFD runs at the other five Re become available, type them into the yellow override columns in section 5 and the correlation is bypassed.</t>
  </si>
  <si>
    <t xml:space="preserve">Run 0 (smooth tube) evaluated from CFD</t>
  </si>
  <si>
    <t xml:space="preserve">T_b,0</t>
  </si>
  <si>
    <t xml:space="preserve">rho_0</t>
  </si>
  <si>
    <t xml:space="preserve">kg/m3</t>
  </si>
  <si>
    <t xml:space="preserve">mu_0</t>
  </si>
  <si>
    <t xml:space="preserve">Pa.s</t>
  </si>
  <si>
    <t xml:space="preserve">k_0</t>
  </si>
  <si>
    <t xml:space="preserve">W/mK</t>
  </si>
  <si>
    <t xml:space="preserve">cp_0</t>
  </si>
  <si>
    <t xml:space="preserve">J/kgK</t>
  </si>
  <si>
    <t xml:space="preserve">u_m,0</t>
  </si>
  <si>
    <t xml:space="preserve">m/s</t>
  </si>
  <si>
    <t xml:space="preserve">f_0 (CFD, Fanning)</t>
  </si>
  <si>
    <t xml:space="preserve">-</t>
  </si>
  <si>
    <t xml:space="preserve">Nu_0 (CFD)</t>
  </si>
  <si>
    <t xml:space="preserve">Pr_0</t>
  </si>
  <si>
    <t xml:space="preserve">f_Petukhov(10000), Fanning</t>
  </si>
  <si>
    <t xml:space="preserve">Nu_Gnielinski(10000)</t>
  </si>
  <si>
    <t xml:space="preserve">C_f  = f_0,CFD / f_Petukhov</t>
  </si>
  <si>
    <t xml:space="preserve">friction scale factor</t>
  </si>
  <si>
    <t xml:space="preserve">C_Nu = Nu_0,CFD / Nu_Gnielinski</t>
  </si>
  <si>
    <t xml:space="preserve">Nusselt scale factor</t>
  </si>
  <si>
    <t xml:space="preserve">4. Run-by-run results</t>
  </si>
  <si>
    <t xml:space="preserve">T_b (K)</t>
  </si>
  <si>
    <t xml:space="preserve">rho (kg/m3)</t>
  </si>
  <si>
    <t xml:space="preserve">mu (Pa.s)</t>
  </si>
  <si>
    <t xml:space="preserve">k (W/mK)</t>
  </si>
  <si>
    <t xml:space="preserve">cp (J/kgK)</t>
  </si>
  <si>
    <t xml:space="preserve">Pr</t>
  </si>
  <si>
    <t xml:space="preserve">u_m (m/s)</t>
  </si>
  <si>
    <t xml:space="preserve">f_o override</t>
  </si>
  <si>
    <t xml:space="preserve">Nu_o override</t>
  </si>
  <si>
    <t xml:space="preserve">f_o used</t>
  </si>
  <si>
    <t xml:space="preserve">Nu_o used</t>
  </si>
  <si>
    <t xml:space="preserve">f/f_o</t>
  </si>
  <si>
    <t xml:space="preserve">Nu/Nu_o</t>
  </si>
  <si>
    <t xml:space="preserve">PEC</t>
  </si>
  <si>
    <t xml:space="preserve">Yellow columns (N, O) are optional overrides: leave blank to use the scaled correlation, or type a smooth-tube CFD value to use it instead. Grey band = Pt 300 mm, for readability only.</t>
  </si>
  <si>
    <t xml:space="preserve">5. Chart series (do not edit - feeds the charts below)</t>
  </si>
  <si>
    <t xml:space="preserve">f/fo 200</t>
  </si>
  <si>
    <t xml:space="preserve">f/fo 300</t>
  </si>
  <si>
    <t xml:space="preserve">f/fo 400</t>
  </si>
  <si>
    <t xml:space="preserve">Nu/Nuo 200</t>
  </si>
  <si>
    <t xml:space="preserve">Nu/Nuo 300</t>
  </si>
  <si>
    <t xml:space="preserve">Nu/Nuo 400</t>
  </si>
  <si>
    <t xml:space="preserve">PEC 200</t>
  </si>
  <si>
    <t xml:space="preserve">PEC 300</t>
  </si>
  <si>
    <t xml:space="preserve">PEC 400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</si>
</sst>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;;;General"/>
    <numFmt numFmtId="167" formatCode="0.00"/>
    <numFmt numFmtId="168" formatCode="0.00000000"/>
    <numFmt numFmtId="169" formatCode="0.0000E+00"/>
    <numFmt numFmtId="170" formatCode="0.0000"/>
    <numFmt numFmtId="171" formatCode="0.000"/>
    <numFmt numFmtId="172" formatCode="0.000000"/>
    <numFmt numFmtId="173" formatCode="0.0000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i val="true"/>
      <sz val="11"/>
      <color rgb="FF444444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3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79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2F6FD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4E78"/>
        <bgColor rgb="FF1F4E79"/>
      </patternFill>
    </fill>
    <fill>
      <patternFill patternType="solid">
        <fgColor rgb="FFFFFF99"/>
        <bgColor rgb="FFF2F2F2"/>
      </patternFill>
    </fill>
    <fill>
      <patternFill patternType="solid">
        <fgColor rgb="FF2F6FD0"/>
        <bgColor rgb="FF4472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6E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4472C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6FD0"/>
      <rgbColor rgb="FF33CCCC"/>
      <rgbColor rgb="FF99CC00"/>
      <rgbColor rgb="FFFFCC00"/>
      <rgbColor rgb="FFFF9900"/>
      <rgbColor rgb="FFD94801"/>
      <rgbColor rgb="FF595959"/>
      <rgbColor rgb="FFB3B3B3"/>
      <rgbColor rgb="FF1F4E78"/>
      <rgbColor rgb="FF00A651"/>
      <rgbColor rgb="FF003300"/>
      <rgbColor rgb="FF333300"/>
      <rgbColor rgb="FF993300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Friction-factor ratio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'Stage 1 - PEC Analysis'!B63</c:f>
              <c:strCache>
                <c:ptCount val="1"/>
                <c:pt idx="0">
                  <c:v>f/fo 200</c:v>
                </c:pt>
              </c:strCache>
            </c:strRef>
          </c:tx>
          <c:spPr>
            <a:solidFill>
              <a:srgbClr val="2f6fd0"/>
            </a:solidFill>
            <a:ln w="28080">
              <a:solidFill>
                <a:srgbClr val="2f6fd0"/>
              </a:solidFill>
              <a:round/>
            </a:ln>
          </c:spPr>
          <c:marker>
            <c:symbol val="square"/>
            <c:size val="7"/>
            <c:spPr>
              <a:solidFill>
                <a:srgbClr val="2f6fd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Analysis'!$B$64:$B$69</c:f>
              <c:numCache>
                <c:formatCode>0.000</c:formatCode>
                <c:ptCount val="6"/>
                <c:pt idx="0">
                  <c:v>1.52064473407491</c:v>
                </c:pt>
                <c:pt idx="1">
                  <c:v>1.48174911341943</c:v>
                </c:pt>
                <c:pt idx="2">
                  <c:v>1.47221874761151</c:v>
                </c:pt>
                <c:pt idx="3">
                  <c:v>1.68278010614592</c:v>
                </c:pt>
                <c:pt idx="4">
                  <c:v>1.44008119137427</c:v>
                </c:pt>
                <c:pt idx="5">
                  <c:v>1.41677030348149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'Stage 1 - PEC Analysis'!C63</c:f>
              <c:strCache>
                <c:ptCount val="1"/>
                <c:pt idx="0">
                  <c:v>f/fo 300</c:v>
                </c:pt>
              </c:strCache>
            </c:strRef>
          </c:tx>
          <c:spPr>
            <a:solidFill>
              <a:srgbClr val="d94801"/>
            </a:solidFill>
            <a:ln w="28080">
              <a:solidFill>
                <a:srgbClr val="d94801"/>
              </a:solidFill>
              <a:round/>
            </a:ln>
          </c:spPr>
          <c:marker>
            <c:symbol val="circle"/>
            <c:size val="7"/>
            <c:spPr>
              <a:solidFill>
                <a:srgbClr val="d9480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Analysis'!$C$64:$C$69</c:f>
              <c:numCache>
                <c:formatCode>0.000</c:formatCode>
                <c:ptCount val="6"/>
                <c:pt idx="0">
                  <c:v>1.50467737256626</c:v>
                </c:pt>
                <c:pt idx="1">
                  <c:v>1.4602831958908</c:v>
                </c:pt>
                <c:pt idx="2">
                  <c:v>1.44860037330678</c:v>
                </c:pt>
                <c:pt idx="3">
                  <c:v>1.4343503350336</c:v>
                </c:pt>
                <c:pt idx="4">
                  <c:v>1.41503766524975</c:v>
                </c:pt>
                <c:pt idx="5">
                  <c:v>1.39151994920715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'Stage 1 - PEC Analysis'!D63</c:f>
              <c:strCache>
                <c:ptCount val="1"/>
                <c:pt idx="0">
                  <c:v>f/fo 400</c:v>
                </c:pt>
              </c:strCache>
            </c:strRef>
          </c:tx>
          <c:spPr>
            <a:solidFill>
              <a:srgbClr val="00916e"/>
            </a:solidFill>
            <a:ln w="28080">
              <a:solidFill>
                <a:srgbClr val="00916e"/>
              </a:solidFill>
              <a:round/>
            </a:ln>
          </c:spPr>
          <c:marker>
            <c:symbol val="triangle"/>
            <c:size val="7"/>
            <c:spPr>
              <a:solidFill>
                <a:srgbClr val="00916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Analysis'!$D$64:$D$69</c:f>
              <c:numCache>
                <c:formatCode>0.000</c:formatCode>
                <c:ptCount val="6"/>
                <c:pt idx="0">
                  <c:v>1.49796262164013</c:v>
                </c:pt>
                <c:pt idx="1">
                  <c:v>1.45386033536421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041963"/>
        <c:axId val="32307740"/>
      </c:lineChart>
      <c:catAx>
        <c:axId val="170419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 number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307740"/>
        <c:crosses val="autoZero"/>
        <c:auto val="1"/>
        <c:lblAlgn val="ctr"/>
        <c:lblOffset val="100"/>
        <c:noMultiLvlLbl val="0"/>
      </c:catAx>
      <c:valAx>
        <c:axId val="3230774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 / f_o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0419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Nusselt-number ratio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'Stage 1 - PEC Analysis'!E63</c:f>
              <c:strCache>
                <c:ptCount val="1"/>
                <c:pt idx="0">
                  <c:v>Nu/Nuo 200</c:v>
                </c:pt>
              </c:strCache>
            </c:strRef>
          </c:tx>
          <c:spPr>
            <a:solidFill>
              <a:srgbClr val="2f6fd0"/>
            </a:solidFill>
            <a:ln w="28080">
              <a:solidFill>
                <a:srgbClr val="2f6fd0"/>
              </a:solidFill>
              <a:round/>
            </a:ln>
          </c:spPr>
          <c:marker>
            <c:symbol val="square"/>
            <c:size val="7"/>
            <c:spPr>
              <a:solidFill>
                <a:srgbClr val="2f6fd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Analysis'!$E$64:$E$69</c:f>
              <c:numCache>
                <c:formatCode>0.000</c:formatCode>
                <c:ptCount val="6"/>
                <c:pt idx="0">
                  <c:v>1.28599617834485</c:v>
                </c:pt>
                <c:pt idx="1">
                  <c:v>0.963609976728339</c:v>
                </c:pt>
                <c:pt idx="2">
                  <c:v>0.886845887761831</c:v>
                </c:pt>
                <c:pt idx="3">
                  <c:v>0.870787968956342</c:v>
                </c:pt>
                <c:pt idx="4">
                  <c:v>0.814767887425147</c:v>
                </c:pt>
                <c:pt idx="5">
                  <c:v>0.789252494585883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'Stage 1 - PEC Analysis'!F63</c:f>
              <c:strCache>
                <c:ptCount val="1"/>
                <c:pt idx="0">
                  <c:v>Nu/Nuo 300</c:v>
                </c:pt>
              </c:strCache>
            </c:strRef>
          </c:tx>
          <c:spPr>
            <a:solidFill>
              <a:srgbClr val="d94801"/>
            </a:solidFill>
            <a:ln w="28080">
              <a:solidFill>
                <a:srgbClr val="d94801"/>
              </a:solidFill>
              <a:round/>
            </a:ln>
          </c:spPr>
          <c:marker>
            <c:symbol val="circle"/>
            <c:size val="7"/>
            <c:spPr>
              <a:solidFill>
                <a:srgbClr val="d9480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Analysis'!$F$64:$F$69</c:f>
              <c:numCache>
                <c:formatCode>0.000</c:formatCode>
                <c:ptCount val="6"/>
                <c:pt idx="0">
                  <c:v>1.28172708846693</c:v>
                </c:pt>
                <c:pt idx="1">
                  <c:v>0.958762903438254</c:v>
                </c:pt>
                <c:pt idx="2">
                  <c:v>0.880792582079435</c:v>
                </c:pt>
                <c:pt idx="3">
                  <c:v>0.840041389161567</c:v>
                </c:pt>
                <c:pt idx="4">
                  <c:v>0.808522672787196</c:v>
                </c:pt>
                <c:pt idx="5">
                  <c:v>0.782930016244775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'Stage 1 - PEC Analysis'!G63</c:f>
              <c:strCache>
                <c:ptCount val="1"/>
                <c:pt idx="0">
                  <c:v>Nu/Nuo 400</c:v>
                </c:pt>
              </c:strCache>
            </c:strRef>
          </c:tx>
          <c:spPr>
            <a:solidFill>
              <a:srgbClr val="00916e"/>
            </a:solidFill>
            <a:ln w="28080">
              <a:solidFill>
                <a:srgbClr val="00916e"/>
              </a:solidFill>
              <a:round/>
            </a:ln>
          </c:spPr>
          <c:marker>
            <c:symbol val="triangle"/>
            <c:size val="7"/>
            <c:spPr>
              <a:solidFill>
                <a:srgbClr val="00916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Analysis'!$G$64:$G$69</c:f>
              <c:numCache>
                <c:formatCode>0.000</c:formatCode>
                <c:ptCount val="6"/>
                <c:pt idx="0">
                  <c:v>1.27982014992864</c:v>
                </c:pt>
                <c:pt idx="1">
                  <c:v>0.956942171346224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484621"/>
        <c:axId val="76500572"/>
      </c:lineChart>
      <c:catAx>
        <c:axId val="304846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 number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00572"/>
        <c:crosses val="autoZero"/>
        <c:auto val="1"/>
        <c:lblAlgn val="ctr"/>
        <c:lblOffset val="100"/>
        <c:noMultiLvlLbl val="0"/>
      </c:catAx>
      <c:valAx>
        <c:axId val="7650057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 / Nu_o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846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Performance evaluation criterion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'Stage 1 - PEC Analysis'!H63</c:f>
              <c:strCache>
                <c:ptCount val="1"/>
                <c:pt idx="0">
                  <c:v>PEC 200</c:v>
                </c:pt>
              </c:strCache>
            </c:strRef>
          </c:tx>
          <c:spPr>
            <a:solidFill>
              <a:srgbClr val="2f6fd0"/>
            </a:solidFill>
            <a:ln w="28080">
              <a:solidFill>
                <a:srgbClr val="2f6fd0"/>
              </a:solidFill>
              <a:round/>
            </a:ln>
          </c:spPr>
          <c:marker>
            <c:symbol val="square"/>
            <c:size val="7"/>
            <c:spPr>
              <a:solidFill>
                <a:srgbClr val="2f6fd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Analysis'!$H$64:$H$69</c:f>
              <c:numCache>
                <c:formatCode>0.000</c:formatCode>
                <c:ptCount val="6"/>
                <c:pt idx="0">
                  <c:v>1.11831398815052</c:v>
                </c:pt>
                <c:pt idx="1">
                  <c:v>0.845232904919284</c:v>
                </c:pt>
                <c:pt idx="2">
                  <c:v>0.779574052051454</c:v>
                </c:pt>
                <c:pt idx="3">
                  <c:v>0.732099252966828</c:v>
                </c:pt>
                <c:pt idx="4">
                  <c:v>0.721503171330703</c:v>
                </c:pt>
                <c:pt idx="5">
                  <c:v>0.702720810259562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'Stage 1 - PEC Analysis'!I63</c:f>
              <c:strCache>
                <c:ptCount val="1"/>
                <c:pt idx="0">
                  <c:v>PEC 300</c:v>
                </c:pt>
              </c:strCache>
            </c:strRef>
          </c:tx>
          <c:spPr>
            <a:solidFill>
              <a:srgbClr val="d94801"/>
            </a:solidFill>
            <a:ln w="28080">
              <a:solidFill>
                <a:srgbClr val="d94801"/>
              </a:solidFill>
              <a:round/>
            </a:ln>
          </c:spPr>
          <c:marker>
            <c:symbol val="circle"/>
            <c:size val="7"/>
            <c:spPr>
              <a:solidFill>
                <a:srgbClr val="d9480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Analysis'!$I$64:$I$69</c:f>
              <c:numCache>
                <c:formatCode>0.000</c:formatCode>
                <c:ptCount val="6"/>
                <c:pt idx="0">
                  <c:v>1.11853033349743</c:v>
                </c:pt>
                <c:pt idx="1">
                  <c:v>0.845082015404135</c:v>
                </c:pt>
                <c:pt idx="2">
                  <c:v>0.778438160081983</c:v>
                </c:pt>
                <c:pt idx="3">
                  <c:v>0.744873066953454</c:v>
                </c:pt>
                <c:pt idx="4">
                  <c:v>0.72017195164085</c:v>
                </c:pt>
                <c:pt idx="5">
                  <c:v>0.701282709430078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'Stage 1 - PEC Analysis'!J63</c:f>
              <c:strCache>
                <c:ptCount val="1"/>
                <c:pt idx="0">
                  <c:v>PEC 400</c:v>
                </c:pt>
              </c:strCache>
            </c:strRef>
          </c:tx>
          <c:spPr>
            <a:solidFill>
              <a:srgbClr val="00916e"/>
            </a:solidFill>
            <a:ln w="28080">
              <a:solidFill>
                <a:srgbClr val="00916e"/>
              </a:solidFill>
              <a:round/>
            </a:ln>
          </c:spPr>
          <c:marker>
            <c:symbol val="triangle"/>
            <c:size val="7"/>
            <c:spPr>
              <a:solidFill>
                <a:srgbClr val="00916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'Stage 1 - PEC Analysis'!$A$64:$A$69</c:f>
              <c:strCache>
                <c:ptCount val="6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</c:strCache>
            </c:strRef>
          </c:cat>
          <c:val>
            <c:numRef>
              <c:f>'Stage 1 - PEC Analysis'!$J$64:$J$69</c:f>
              <c:numCache>
                <c:formatCode>0.000</c:formatCode>
                <c:ptCount val="6"/>
                <c:pt idx="0">
                  <c:v>1.11853252724398</c:v>
                </c:pt>
                <c:pt idx="1">
                  <c:v>0.844717447344659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049688"/>
        <c:axId val="76482075"/>
      </c:lineChart>
      <c:catAx>
        <c:axId val="230496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 number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82075"/>
        <c:crosses val="autoZero"/>
        <c:auto val="1"/>
        <c:lblAlgn val="ctr"/>
        <c:lblOffset val="100"/>
        <c:noMultiLvlLbl val="0"/>
      </c:catAx>
      <c:valAx>
        <c:axId val="7648207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0496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71</xdr:row>
      <xdr:rowOff>175680</xdr:rowOff>
    </xdr:from>
    <xdr:to>
      <xdr:col>2</xdr:col>
      <xdr:colOff>770400</xdr:colOff>
      <xdr:row>87</xdr:row>
      <xdr:rowOff>187560</xdr:rowOff>
    </xdr:to>
    <xdr:graphicFrame>
      <xdr:nvGraphicFramePr>
        <xdr:cNvPr id="0" name="Chart 1"/>
        <xdr:cNvGraphicFramePr/>
      </xdr:nvGraphicFramePr>
      <xdr:xfrm>
        <a:off x="0" y="13887360"/>
        <a:ext cx="48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71</xdr:row>
      <xdr:rowOff>175680</xdr:rowOff>
    </xdr:from>
    <xdr:to>
      <xdr:col>15</xdr:col>
      <xdr:colOff>858960</xdr:colOff>
      <xdr:row>87</xdr:row>
      <xdr:rowOff>187560</xdr:rowOff>
    </xdr:to>
    <xdr:graphicFrame>
      <xdr:nvGraphicFramePr>
        <xdr:cNvPr id="1" name="Chart 2"/>
        <xdr:cNvGraphicFramePr/>
      </xdr:nvGraphicFramePr>
      <xdr:xfrm>
        <a:off x="12445920" y="13887360"/>
        <a:ext cx="48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90</xdr:row>
      <xdr:rowOff>175680</xdr:rowOff>
    </xdr:from>
    <xdr:to>
      <xdr:col>2</xdr:col>
      <xdr:colOff>770400</xdr:colOff>
      <xdr:row>106</xdr:row>
      <xdr:rowOff>187560</xdr:rowOff>
    </xdr:to>
    <xdr:graphicFrame>
      <xdr:nvGraphicFramePr>
        <xdr:cNvPr id="2" name="Chart 3"/>
        <xdr:cNvGraphicFramePr/>
      </xdr:nvGraphicFramePr>
      <xdr:xfrm>
        <a:off x="0" y="17506800"/>
        <a:ext cx="48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1" min="10" style="1" width="10"/>
    <col collapsed="false" customWidth="true" hidden="false" outlineLevel="0" max="12" min="12" style="1" width="12"/>
    <col collapsed="false" customWidth="true" hidden="false" outlineLevel="0" max="14" min="13" style="1" width="16"/>
    <col collapsed="false" customWidth="true" hidden="false" outlineLevel="0" max="20" min="15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30"/>
  </cols>
  <sheetData>
    <row r="1" customFormat="false" ht="17.2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4" customFormat="false" ht="42" hidden="false" customHeight="true" outlineLevel="0" collapsed="false">
      <c r="A4" s="25" t="s">
        <v>44</v>
      </c>
      <c r="B4" s="25" t="s">
        <v>45</v>
      </c>
      <c r="C4" s="25" t="s">
        <v>46</v>
      </c>
      <c r="D4" s="25" t="s">
        <v>47</v>
      </c>
      <c r="E4" s="25" t="s">
        <v>48</v>
      </c>
      <c r="F4" s="25" t="s">
        <v>49</v>
      </c>
      <c r="G4" s="25" t="s">
        <v>50</v>
      </c>
      <c r="H4" s="25" t="s">
        <v>51</v>
      </c>
      <c r="I4" s="25" t="s">
        <v>52</v>
      </c>
      <c r="J4" s="25" t="s">
        <v>53</v>
      </c>
      <c r="K4" s="25" t="s">
        <v>54</v>
      </c>
      <c r="L4" s="25" t="s">
        <v>55</v>
      </c>
      <c r="M4" s="25" t="s">
        <v>56</v>
      </c>
      <c r="N4" s="25" t="s">
        <v>57</v>
      </c>
      <c r="O4" s="25" t="s">
        <v>58</v>
      </c>
      <c r="P4" s="25" t="s">
        <v>59</v>
      </c>
      <c r="Q4" s="25" t="s">
        <v>60</v>
      </c>
      <c r="R4" s="25" t="s">
        <v>61</v>
      </c>
      <c r="S4" s="25" t="s">
        <v>62</v>
      </c>
      <c r="T4" s="25" t="s">
        <v>63</v>
      </c>
      <c r="U4" s="25" t="s">
        <v>64</v>
      </c>
      <c r="V4" s="25" t="s">
        <v>65</v>
      </c>
      <c r="W4" s="25" t="s">
        <v>66</v>
      </c>
      <c r="X4" s="25" t="s">
        <v>67</v>
      </c>
    </row>
    <row r="5" customFormat="false" ht="15" hidden="false" customHeight="tru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26" t="s">
        <v>73</v>
      </c>
      <c r="I5" s="26" t="n">
        <v>0.006959</v>
      </c>
      <c r="J5" s="6" t="n">
        <v>15</v>
      </c>
      <c r="K5" s="6" t="n">
        <v>1.2</v>
      </c>
      <c r="L5" s="6" t="s">
        <v>74</v>
      </c>
      <c r="M5" s="26" t="s">
        <v>73</v>
      </c>
      <c r="N5" s="26" t="n">
        <v>0.006959</v>
      </c>
      <c r="O5" s="6" t="n">
        <v>15</v>
      </c>
      <c r="P5" s="6" t="n">
        <v>1.2</v>
      </c>
      <c r="Q5" s="8" t="n">
        <v>1587332</v>
      </c>
      <c r="R5" s="8" t="n">
        <v>4301495</v>
      </c>
      <c r="S5" s="8" t="n">
        <v>0.90002</v>
      </c>
      <c r="T5" s="8" t="n">
        <v>1.0088E-005</v>
      </c>
      <c r="U5" s="8" t="n">
        <v>0.99364</v>
      </c>
      <c r="V5" s="26" t="n">
        <v>0.01175</v>
      </c>
      <c r="W5" s="27" t="n">
        <f aca="false">V5/0.01</f>
        <v>1.175</v>
      </c>
      <c r="X5" s="28" t="str">
        <f aca="false">IF(V5&lt;0.01,"BELOW 0.01 BAR — check convergence before trusting this run","Clears 0.01 bar")</f>
        <v>Clears 0.01 bar</v>
      </c>
    </row>
    <row r="7" customFormat="false" ht="15" hidden="false" customHeight="true" outlineLevel="0" collapsed="false">
      <c r="A7" s="29" t="s">
        <v>75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 customFormat="false" ht="15" hidden="false" customHeight="true" outlineLevel="0" collapsed="false">
      <c r="A8" s="30" t="s">
        <v>76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7" min="5" style="1" width="11"/>
    <col collapsed="false" customWidth="true" hidden="false" outlineLevel="0" max="11" min="8" style="1" width="9"/>
    <col collapsed="false" customWidth="true" hidden="false" outlineLevel="0" max="12" min="12" style="1" width="11"/>
    <col collapsed="false" customWidth="true" hidden="false" outlineLevel="0" max="14" min="13" style="1" width="12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9" min="18" style="1" width="11"/>
    <col collapsed="false" customWidth="true" hidden="false" outlineLevel="0" max="20" min="20" style="1" width="10"/>
    <col collapsed="false" customWidth="true" hidden="false" outlineLevel="0" max="22" min="21" style="1" width="11"/>
    <col collapsed="false" customWidth="true" hidden="false" outlineLevel="0" max="23" min="23" style="1" width="9"/>
    <col collapsed="false" customWidth="true" hidden="false" outlineLevel="0" max="24" min="24" style="1" width="8"/>
    <col collapsed="false" customWidth="true" hidden="false" outlineLevel="0" max="25" min="25" style="1" width="9"/>
    <col collapsed="false" customWidth="true" hidden="false" outlineLevel="0" max="26" min="26" style="1" width="11"/>
    <col collapsed="false" customWidth="true" hidden="false" outlineLevel="0" max="28" min="27" style="1" width="9"/>
    <col collapsed="false" customWidth="true" hidden="false" outlineLevel="0" max="30" min="29" style="1" width="10"/>
    <col collapsed="false" customWidth="true" hidden="false" outlineLevel="0" max="32" min="31" style="1" width="12"/>
    <col collapsed="false" customWidth="true" hidden="false" outlineLevel="0" max="33" min="33" style="1" width="16"/>
  </cols>
  <sheetData>
    <row r="1" customFormat="false" ht="17.25" hidden="false" customHeight="true" outlineLevel="0" collapsed="false">
      <c r="A1" s="31" t="s">
        <v>77</v>
      </c>
    </row>
    <row r="2" customFormat="false" ht="30" hidden="false" customHeight="true" outlineLevel="0" collapsed="false">
      <c r="A2" s="32" t="s">
        <v>78</v>
      </c>
      <c r="B2" s="32"/>
      <c r="C2" s="32"/>
      <c r="D2" s="32"/>
      <c r="E2" s="32"/>
      <c r="F2" s="32"/>
      <c r="G2" s="32"/>
      <c r="H2" s="32"/>
      <c r="I2" s="32"/>
      <c r="J2" s="32"/>
    </row>
    <row r="4" customFormat="false" ht="15" hidden="false" customHeight="true" outlineLevel="0" collapsed="false">
      <c r="A4" s="33" t="s">
        <v>79</v>
      </c>
    </row>
    <row r="5" customFormat="false" ht="15" hidden="false" customHeight="true" outlineLevel="0" collapsed="false">
      <c r="A5" s="34" t="s">
        <v>80</v>
      </c>
      <c r="B5" s="35" t="s">
        <v>81</v>
      </c>
      <c r="C5" s="34" t="n">
        <v>0.066</v>
      </c>
      <c r="D5" s="36" t="s">
        <v>82</v>
      </c>
    </row>
    <row r="6" customFormat="false" ht="15" hidden="false" customHeight="true" outlineLevel="0" collapsed="false">
      <c r="A6" s="34" t="s">
        <v>83</v>
      </c>
      <c r="B6" s="35" t="s">
        <v>81</v>
      </c>
      <c r="C6" s="34" t="n">
        <v>0.07</v>
      </c>
      <c r="D6" s="36" t="s">
        <v>82</v>
      </c>
    </row>
    <row r="7" customFormat="false" ht="15" hidden="false" customHeight="true" outlineLevel="0" collapsed="false">
      <c r="A7" s="34" t="s">
        <v>84</v>
      </c>
      <c r="B7" s="35" t="s">
        <v>81</v>
      </c>
      <c r="C7" s="34" t="n">
        <v>2</v>
      </c>
      <c r="D7" s="36" t="s">
        <v>82</v>
      </c>
    </row>
    <row r="8" customFormat="false" ht="15" hidden="false" customHeight="true" outlineLevel="0" collapsed="false">
      <c r="A8" s="34" t="s">
        <v>85</v>
      </c>
      <c r="B8" s="35" t="s">
        <v>81</v>
      </c>
      <c r="C8" s="34" t="n">
        <v>0.015</v>
      </c>
      <c r="D8" s="36" t="s">
        <v>86</v>
      </c>
    </row>
    <row r="9" customFormat="false" ht="15" hidden="false" customHeight="true" outlineLevel="0" collapsed="false">
      <c r="A9" s="34" t="s">
        <v>87</v>
      </c>
      <c r="B9" s="35" t="s">
        <v>81</v>
      </c>
      <c r="C9" s="34" t="n">
        <v>0.0129</v>
      </c>
      <c r="D9" s="36" t="s">
        <v>86</v>
      </c>
    </row>
    <row r="11" customFormat="false" ht="15" hidden="false" customHeight="true" outlineLevel="0" collapsed="false">
      <c r="A11" s="35" t="s">
        <v>88</v>
      </c>
      <c r="C11" s="37" t="n">
        <f aca="false">PI()/4*($C$5^2-$C$8^2)</f>
        <v>0.00324447981299486</v>
      </c>
    </row>
    <row r="12" customFormat="false" ht="15" hidden="false" customHeight="true" outlineLevel="0" collapsed="false">
      <c r="A12" s="35" t="s">
        <v>89</v>
      </c>
      <c r="C12" s="37" t="n">
        <f aca="false">PI()/4*$C$9^2</f>
        <v>0.000130698108370969</v>
      </c>
    </row>
    <row r="13" customFormat="false" ht="15" hidden="false" customHeight="true" outlineLevel="0" collapsed="false">
      <c r="A13" s="33" t="s">
        <v>90</v>
      </c>
      <c r="C13" s="38" t="n">
        <f aca="false">C11+C12</f>
        <v>0.00337517792136583</v>
      </c>
    </row>
    <row r="15" customFormat="false" ht="15" hidden="false" customHeight="true" outlineLevel="0" collapsed="false">
      <c r="A15" s="33" t="s">
        <v>91</v>
      </c>
    </row>
    <row r="16" customFormat="false" ht="15" hidden="false" customHeight="true" outlineLevel="0" collapsed="false">
      <c r="A16" s="33" t="s">
        <v>92</v>
      </c>
      <c r="B16" s="33" t="s">
        <v>93</v>
      </c>
      <c r="C16" s="33" t="s">
        <v>94</v>
      </c>
      <c r="D16" s="33" t="s">
        <v>95</v>
      </c>
      <c r="E16" s="33" t="s">
        <v>96</v>
      </c>
      <c r="F16" s="33" t="s">
        <v>97</v>
      </c>
    </row>
    <row r="17" customFormat="false" ht="15" hidden="false" customHeight="true" outlineLevel="0" collapsed="false">
      <c r="A17" s="34" t="s">
        <v>98</v>
      </c>
      <c r="B17" s="39" t="n">
        <v>1105.7</v>
      </c>
      <c r="C17" s="39" t="n">
        <v>-0.41535</v>
      </c>
      <c r="D17" s="39" t="n">
        <v>-0.00060616</v>
      </c>
      <c r="E17" s="39" t="n">
        <v>0</v>
      </c>
      <c r="F17" s="39" t="n">
        <v>0</v>
      </c>
    </row>
    <row r="18" customFormat="false" ht="15" hidden="false" customHeight="true" outlineLevel="0" collapsed="false">
      <c r="A18" s="34" t="s">
        <v>99</v>
      </c>
      <c r="B18" s="39" t="n">
        <v>0.084866</v>
      </c>
      <c r="C18" s="39" t="n">
        <v>-0.00055412</v>
      </c>
      <c r="D18" s="39" t="n">
        <v>1.3882E-006</v>
      </c>
      <c r="E18" s="39" t="n">
        <v>-1.566E-009</v>
      </c>
      <c r="F18" s="39" t="n">
        <v>6.672E-013</v>
      </c>
    </row>
    <row r="19" customFormat="false" ht="15" hidden="false" customHeight="true" outlineLevel="0" collapsed="false">
      <c r="A19" s="34" t="s">
        <v>100</v>
      </c>
      <c r="B19" s="39" t="n">
        <v>0.19002</v>
      </c>
      <c r="C19" s="39" t="n">
        <v>-0.00018752</v>
      </c>
      <c r="D19" s="39" t="n">
        <v>-5.7534E-010</v>
      </c>
      <c r="E19" s="39" t="n">
        <v>0</v>
      </c>
      <c r="F19" s="39" t="n">
        <v>0</v>
      </c>
    </row>
    <row r="20" customFormat="false" ht="15" hidden="false" customHeight="true" outlineLevel="0" collapsed="false">
      <c r="A20" s="34" t="s">
        <v>101</v>
      </c>
      <c r="B20" s="39" t="n">
        <v>1107.8</v>
      </c>
      <c r="C20" s="39" t="n">
        <v>1.708</v>
      </c>
      <c r="D20" s="39" t="n">
        <v>0</v>
      </c>
      <c r="E20" s="39" t="n">
        <v>0</v>
      </c>
      <c r="F20" s="39" t="n">
        <v>0</v>
      </c>
    </row>
    <row r="21" customFormat="false" ht="15" hidden="false" customHeight="true" outlineLevel="0" collapsed="false">
      <c r="A21" s="1" t="s">
        <v>102</v>
      </c>
    </row>
    <row r="23" customFormat="false" ht="31.5" hidden="false" customHeight="true" outlineLevel="0" collapsed="false">
      <c r="A23" s="40" t="s">
        <v>44</v>
      </c>
      <c r="B23" s="40" t="s">
        <v>103</v>
      </c>
      <c r="C23" s="40" t="s">
        <v>104</v>
      </c>
      <c r="D23" s="40" t="s">
        <v>105</v>
      </c>
      <c r="E23" s="40" t="s">
        <v>106</v>
      </c>
      <c r="F23" s="40" t="s">
        <v>107</v>
      </c>
      <c r="G23" s="40" t="s">
        <v>108</v>
      </c>
      <c r="H23" s="40" t="s">
        <v>109</v>
      </c>
      <c r="I23" s="40" t="s">
        <v>110</v>
      </c>
      <c r="J23" s="40" t="s">
        <v>111</v>
      </c>
      <c r="K23" s="40" t="s">
        <v>112</v>
      </c>
      <c r="L23" s="40" t="s">
        <v>113</v>
      </c>
      <c r="M23" s="40" t="s">
        <v>114</v>
      </c>
      <c r="N23" s="40" t="s">
        <v>115</v>
      </c>
      <c r="O23" s="40" t="s">
        <v>116</v>
      </c>
      <c r="P23" s="40" t="s">
        <v>117</v>
      </c>
      <c r="Q23" s="40" t="s">
        <v>118</v>
      </c>
      <c r="R23" s="40" t="s">
        <v>119</v>
      </c>
      <c r="S23" s="40" t="s">
        <v>120</v>
      </c>
      <c r="T23" s="40" t="s">
        <v>121</v>
      </c>
      <c r="U23" s="40" t="s">
        <v>122</v>
      </c>
      <c r="V23" s="40" t="s">
        <v>123</v>
      </c>
      <c r="W23" s="40" t="s">
        <v>124</v>
      </c>
      <c r="X23" s="40" t="s">
        <v>125</v>
      </c>
      <c r="Y23" s="40" t="s">
        <v>126</v>
      </c>
      <c r="Z23" s="40" t="s">
        <v>127</v>
      </c>
      <c r="AA23" s="40" t="s">
        <v>60</v>
      </c>
      <c r="AB23" s="40" t="s">
        <v>61</v>
      </c>
      <c r="AC23" s="40" t="s">
        <v>62</v>
      </c>
      <c r="AD23" s="40" t="s">
        <v>63</v>
      </c>
      <c r="AE23" s="40" t="s">
        <v>128</v>
      </c>
      <c r="AF23" s="40" t="s">
        <v>129</v>
      </c>
      <c r="AG23" s="40" t="s">
        <v>130</v>
      </c>
    </row>
    <row r="24" customFormat="false" ht="15" hidden="false" customHeight="true" outlineLevel="0" collapsed="false">
      <c r="A24" s="35" t="n">
        <v>0</v>
      </c>
      <c r="B24" s="34" t="s">
        <v>131</v>
      </c>
      <c r="C24" s="34" t="n">
        <v>10000</v>
      </c>
      <c r="D24" s="34" t="n">
        <v>500</v>
      </c>
      <c r="E24" s="41" t="n">
        <v>0.41748124</v>
      </c>
      <c r="F24" s="41" t="n">
        <v>-0.41747989</v>
      </c>
      <c r="G24" s="42" t="n">
        <f aca="false">IF(ISNUMBER(E24),ABS(E24+F24)/E24*100,"")</f>
        <v>0.000323367823654915</v>
      </c>
      <c r="H24" s="41" t="n">
        <v>10.590583</v>
      </c>
      <c r="I24" s="41" t="n">
        <v>0</v>
      </c>
      <c r="J24" s="42" t="n">
        <f aca="false">IF(AND(ISNUMBER(H24),ISNUMBER(I24)),H24-I24,"")</f>
        <v>10.590583</v>
      </c>
      <c r="K24" s="41" t="n">
        <v>519.09171</v>
      </c>
      <c r="L24" s="43" t="n">
        <f aca="false">IF(AND(ISNUMBER(D24),ISNUMBER(K24)),AVERAGE(D24,K24),"")</f>
        <v>509.545855</v>
      </c>
      <c r="M24" s="41" t="n">
        <v>660.03433</v>
      </c>
      <c r="N24" s="43" t="n">
        <f aca="false">IF(AND(ISNUMBER(M24),ISNUMBER(L24)),M24-L24,"")</f>
        <v>150.488475</v>
      </c>
      <c r="O24" s="41" t="n">
        <v>0.07788985</v>
      </c>
      <c r="P24" s="41" t="n">
        <v>35607.497</v>
      </c>
      <c r="Q24" s="41" t="n">
        <v>16106.493</v>
      </c>
      <c r="R24" s="44" t="n">
        <f aca="false">IF(ISNUMBER(L24),$B$17+$C$17*L24+$D$17*L24^2+$E$17*L24^3+$F$17*L24^4,"")</f>
        <v>736.67857833052</v>
      </c>
      <c r="S24" s="45" t="n">
        <f aca="false">IF(ISNUMBER(L24),$B$18+$C$18*L24+$D$18*L24^2+$E$18*L24^3+$F$18*L24^4,"")</f>
        <v>0.000744346285557633</v>
      </c>
      <c r="T24" s="46" t="n">
        <f aca="false">IF(ISNUMBER(L24),$B$19+$C$19*L24+$D$19*L24^2+$E$19*L24^3+$F$19*L24^4,"")</f>
        <v>0.0943205817312774</v>
      </c>
      <c r="U24" s="43" t="n">
        <f aca="false">IF(ISNUMBER(L24),$B$20+$C$20*L24+$D$20*L24^2+$E$20*L24^3+$F$20*L24^4,"")</f>
        <v>1978.10432034</v>
      </c>
      <c r="V24" s="45" t="n">
        <f aca="false">IF(AND(ISNUMBER(E24),ISNUMBER(R24)),E24/(R24*$C$13),"")</f>
        <v>0.167904467589505</v>
      </c>
      <c r="W24" s="43" t="n">
        <f aca="false">IF(AND(ISNUMBER(P24),ISNUMBER(N24),N24&lt;&gt;0),P24/N24,"")</f>
        <v>236.612783802879</v>
      </c>
      <c r="X24" s="43" t="n">
        <f aca="false">IF(AND(ISNUMBER(W24),ISNUMBER(T24),T24&lt;&gt;0),W24*$C$5/T24,"")</f>
        <v>165.567720685627</v>
      </c>
      <c r="Y24" s="46" t="n">
        <f aca="false">IF(AND(ISNUMBER(O24),ISNUMBER(R24),ISNUMBER(V24),V24&lt;&gt;0),2*O24/(R24*V24^2),"")</f>
        <v>0.00750081264653434</v>
      </c>
      <c r="Z24" s="41"/>
      <c r="AA24" s="41"/>
      <c r="AB24" s="41"/>
      <c r="AC24" s="41"/>
      <c r="AD24" s="41"/>
      <c r="AE24" s="41"/>
      <c r="AF24" s="41"/>
      <c r="AG24" s="35" t="str">
        <f aca="false">IF(ISNUMBER(AF24),IF(AF24&lt;0.01,"BELOW 0.01 BAR","OK"),"")</f>
        <v/>
      </c>
    </row>
    <row r="25" customFormat="false" ht="15" hidden="false" customHeight="true" outlineLevel="0" collapsed="false">
      <c r="A25" s="35" t="n">
        <v>1</v>
      </c>
      <c r="B25" s="34" t="n">
        <v>200</v>
      </c>
      <c r="C25" s="34" t="n">
        <v>5000</v>
      </c>
      <c r="D25" s="34" t="n">
        <v>500</v>
      </c>
      <c r="E25" s="41" t="n">
        <v>0.20524493</v>
      </c>
      <c r="F25" s="41" t="n">
        <v>-0.20524493</v>
      </c>
      <c r="G25" s="42" t="n">
        <f aca="false">IF(ISNUMBER(E25),ABS(E25+F25)/E25*100,"")</f>
        <v>0</v>
      </c>
      <c r="H25" s="41" t="n">
        <v>8.6026881</v>
      </c>
      <c r="I25" s="41" t="n">
        <v>0</v>
      </c>
      <c r="J25" s="42" t="n">
        <f aca="false">IF(AND(ISNUMBER(H25),ISNUMBER(I25)),H25-I25,"")</f>
        <v>8.6026881</v>
      </c>
      <c r="K25" s="41" t="n">
        <v>538.70755</v>
      </c>
      <c r="L25" s="43" t="n">
        <f aca="false">IF(AND(ISNUMBER(D25),ISNUMBER(K25)),AVERAGE(D25,K25),"")</f>
        <v>519.353775</v>
      </c>
      <c r="M25" s="41" t="n">
        <v>776.22613</v>
      </c>
      <c r="N25" s="43" t="n">
        <f aca="false">IF(AND(ISNUMBER(M25),ISNUMBER(L25)),M25-L25,"")</f>
        <v>256.872355</v>
      </c>
      <c r="O25" s="41" t="n">
        <v>0.036590281</v>
      </c>
      <c r="P25" s="41" t="n">
        <v>37764.874</v>
      </c>
      <c r="Q25" s="41" t="n">
        <v>15656.891</v>
      </c>
      <c r="R25" s="44" t="n">
        <f aca="false">IF(ISNUMBER(L25),$B$17+$C$17*L25+$D$17*L25^2+$E$17*L25^3+$F$17*L25^4,"")</f>
        <v>726.487876793082</v>
      </c>
      <c r="S25" s="45" t="n">
        <f aca="false">IF(ISNUMBER(L25),$B$18+$C$18*L25+$D$18*L25^2+$E$18*L25^3+$F$18*L25^4,"")</f>
        <v>0.000687404666314985</v>
      </c>
      <c r="T25" s="46" t="n">
        <f aca="false">IF(ISNUMBER(L25),$B$19+$C$19*L25+$D$19*L25^2+$E$19*L25^3+$F$19*L25^4,"")</f>
        <v>0.0924755946067893</v>
      </c>
      <c r="U25" s="43" t="n">
        <f aca="false">IF(ISNUMBER(L25),$B$20+$C$20*L25+$D$20*L25^2+$E$20*L25^3+$F$20*L25^4,"")</f>
        <v>1994.8562477</v>
      </c>
      <c r="V25" s="45" t="n">
        <f aca="false">IF(AND(ISNUMBER(E25),ISNUMBER(R25)),E25/(R25*$C$13),"")</f>
        <v>0.0837042279463237</v>
      </c>
      <c r="W25" s="43" t="n">
        <f aca="false">IF(AND(ISNUMBER(P25),ISNUMBER(N25),N25&lt;&gt;0),P25/N25,"")</f>
        <v>147.018054940167</v>
      </c>
      <c r="X25" s="43" t="n">
        <f aca="false">IF(AND(ISNUMBER(W25),ISNUMBER(T25),T25&lt;&gt;0),W25*$C$5/T25,"")</f>
        <v>104.92705310314</v>
      </c>
      <c r="Y25" s="46" t="n">
        <f aca="false">IF(AND(ISNUMBER(O25),ISNUMBER(R25),ISNUMBER(V25),V25&lt;&gt;0),2*O25/(R25*V25^2),"")</f>
        <v>0.0143771425545838</v>
      </c>
      <c r="Z25" s="41" t="n">
        <v>2.96</v>
      </c>
      <c r="AA25" s="41" t="n">
        <v>1587332</v>
      </c>
      <c r="AB25" s="41" t="n">
        <v>4301495</v>
      </c>
      <c r="AC25" s="41" t="n">
        <v>0.90002</v>
      </c>
      <c r="AD25" s="41" t="n">
        <v>1.0088E-005</v>
      </c>
      <c r="AE25" s="41" t="n">
        <v>0.99364</v>
      </c>
      <c r="AF25" s="41" t="n">
        <v>0.01175</v>
      </c>
      <c r="AG25" s="35" t="str">
        <f aca="false">IF(ISNUMBER(AF25),IF(AF25&lt;0.01,"BELOW 0.01 BAR","OK"),"")</f>
        <v>OK</v>
      </c>
    </row>
    <row r="26" customFormat="false" ht="15" hidden="false" customHeight="true" outlineLevel="0" collapsed="false">
      <c r="A26" s="35" t="n">
        <v>2</v>
      </c>
      <c r="B26" s="34" t="n">
        <v>200</v>
      </c>
      <c r="C26" s="34" t="n">
        <v>10000</v>
      </c>
      <c r="D26" s="34" t="n">
        <v>500</v>
      </c>
      <c r="E26" s="41" t="n">
        <v>0.41048987</v>
      </c>
      <c r="F26" s="41" t="n">
        <v>-0.41048989</v>
      </c>
      <c r="G26" s="42" t="n">
        <f aca="false">IF(ISNUMBER(E26),ABS(E26+F26)/E26*100,"")</f>
        <v>4.87222743035877E-006</v>
      </c>
      <c r="H26" s="41" t="n">
        <v>26.548947</v>
      </c>
      <c r="I26" s="41" t="n">
        <v>0</v>
      </c>
      <c r="J26" s="42" t="n">
        <f aca="false">IF(AND(ISNUMBER(H26),ISNUMBER(I26)),H26-I26,"")</f>
        <v>26.548947</v>
      </c>
      <c r="K26" s="41" t="n">
        <v>519.39508</v>
      </c>
      <c r="L26" s="43" t="n">
        <f aca="false">IF(AND(ISNUMBER(D26),ISNUMBER(K26)),AVERAGE(D26,K26),"")</f>
        <v>509.69754</v>
      </c>
      <c r="M26" s="41" t="n">
        <v>675.42972</v>
      </c>
      <c r="N26" s="43" t="n">
        <f aca="false">IF(AND(ISNUMBER(M26),ISNUMBER(L26)),M26-L26,"")</f>
        <v>165.73218</v>
      </c>
      <c r="O26" s="41" t="n">
        <v>0.11466769</v>
      </c>
      <c r="P26" s="41" t="n">
        <v>37764.873</v>
      </c>
      <c r="Q26" s="41" t="n">
        <v>15656.891</v>
      </c>
      <c r="R26" s="44" t="n">
        <f aca="false">IF(ISNUMBER(L26),$B$17+$C$17*L26+$D$17*L26^2+$E$17*L26^3+$F$17*L26^4,"")</f>
        <v>736.521861244912</v>
      </c>
      <c r="S26" s="45" t="n">
        <f aca="false">IF(ISNUMBER(L26),$B$18+$C$18*L26+$D$18*L26^2+$E$18*L26^3+$F$18*L26^4,"")</f>
        <v>0.000743419154877856</v>
      </c>
      <c r="T26" s="46" t="n">
        <f aca="false">IF(ISNUMBER(L26),$B$19+$C$19*L26+$D$19*L26^2+$E$19*L26^3+$F$19*L26^4,"")</f>
        <v>0.0942920488102498</v>
      </c>
      <c r="U26" s="43" t="n">
        <f aca="false">IF(ISNUMBER(L26),$B$20+$C$20*L26+$D$20*L26^2+$E$20*L26^3+$F$20*L26^4,"")</f>
        <v>1978.36339832</v>
      </c>
      <c r="V26" s="45" t="n">
        <f aca="false">IF(AND(ISNUMBER(E26),ISNUMBER(R26)),E26/(R26*$C$13),"")</f>
        <v>0.165127775618086</v>
      </c>
      <c r="W26" s="43" t="n">
        <f aca="false">IF(AND(ISNUMBER(P26),ISNUMBER(N26),N26&lt;&gt;0),P26/N26,"")</f>
        <v>227.866869306854</v>
      </c>
      <c r="X26" s="43" t="n">
        <f aca="false">IF(AND(ISNUMBER(W26),ISNUMBER(T26),T26&lt;&gt;0),W26*$C$5/T26,"")</f>
        <v>159.49609287329</v>
      </c>
      <c r="Y26" s="46" t="n">
        <f aca="false">IF(AND(ISNUMBER(O26),ISNUMBER(R26),ISNUMBER(V26),V26&lt;&gt;0),2*O26/(R26*V26^2),"")</f>
        <v>0.0114194491754672</v>
      </c>
      <c r="Z26" s="41" t="n">
        <v>2.96</v>
      </c>
      <c r="AA26" s="41" t="n">
        <v>1587332</v>
      </c>
      <c r="AB26" s="41" t="n">
        <v>4301495</v>
      </c>
      <c r="AC26" s="41" t="n">
        <v>0.90002</v>
      </c>
      <c r="AD26" s="41" t="n">
        <v>1.0088E-005</v>
      </c>
      <c r="AE26" s="41" t="n">
        <v>0.99364</v>
      </c>
      <c r="AF26" s="41" t="n">
        <v>0.01175</v>
      </c>
      <c r="AG26" s="35" t="str">
        <f aca="false">IF(ISNUMBER(AF26),IF(AF26&lt;0.01,"BELOW 0.01 BAR","OK"),"")</f>
        <v>OK</v>
      </c>
    </row>
    <row r="27" customFormat="false" ht="15" hidden="false" customHeight="true" outlineLevel="0" collapsed="false">
      <c r="A27" s="35" t="n">
        <v>3</v>
      </c>
      <c r="B27" s="34" t="n">
        <v>200</v>
      </c>
      <c r="C27" s="34" t="n">
        <v>15000</v>
      </c>
      <c r="D27" s="34" t="n">
        <v>500</v>
      </c>
      <c r="E27" s="41" t="n">
        <v>0.6157348</v>
      </c>
      <c r="F27" s="41" t="n">
        <v>-0.61573481</v>
      </c>
      <c r="G27" s="42" t="n">
        <f aca="false">IF(ISNUMBER(E27),ABS(E27+F27)/E27*100,"")</f>
        <v>1.62407580978455E-006</v>
      </c>
      <c r="H27" s="41" t="n">
        <v>52.706766</v>
      </c>
      <c r="I27" s="41" t="n">
        <v>0</v>
      </c>
      <c r="J27" s="42" t="n">
        <f aca="false">IF(AND(ISNUMBER(H27),ISNUMBER(I27)),H27-I27,"")</f>
        <v>52.706766</v>
      </c>
      <c r="K27" s="41" t="n">
        <v>512.94033</v>
      </c>
      <c r="L27" s="43" t="n">
        <f aca="false">IF(AND(ISNUMBER(D27),ISNUMBER(K27)),AVERAGE(D27,K27),"")</f>
        <v>506.470165</v>
      </c>
      <c r="M27" s="41" t="n">
        <v>628.58348</v>
      </c>
      <c r="N27" s="43" t="n">
        <f aca="false">IF(AND(ISNUMBER(M27),ISNUMBER(L27)),M27-L27,"")</f>
        <v>122.113315</v>
      </c>
      <c r="O27" s="41" t="n">
        <v>0.22848134</v>
      </c>
      <c r="P27" s="41" t="n">
        <v>37764.874</v>
      </c>
      <c r="Q27" s="41" t="n">
        <v>15656.891</v>
      </c>
      <c r="R27" s="44" t="n">
        <f aca="false">IF(ISNUMBER(L27),$B$17+$C$17*L27+$D$17*L27^2+$E$17*L27^3+$F$17*L27^4,"")</f>
        <v>739.850286053477</v>
      </c>
      <c r="S27" s="45" t="n">
        <f aca="false">IF(ISNUMBER(L27),$B$18+$C$18*L27+$D$18*L27^2+$E$18*L27^3+$F$18*L27^4,"")</f>
        <v>0.000763486434033761</v>
      </c>
      <c r="T27" s="46" t="n">
        <f aca="false">IF(ISNUMBER(L27),$B$19+$C$19*L27+$D$19*L27^2+$E$19*L27^3+$F$19*L27^4,"")</f>
        <v>0.0948991330289903</v>
      </c>
      <c r="U27" s="43" t="n">
        <f aca="false">IF(ISNUMBER(L27),$B$20+$C$20*L27+$D$20*L27^2+$E$20*L27^3+$F$20*L27^4,"")</f>
        <v>1972.85104182</v>
      </c>
      <c r="V27" s="45" t="n">
        <f aca="false">IF(AND(ISNUMBER(E27),ISNUMBER(R27)),E27/(R27*$C$13),"")</f>
        <v>0.246577350742022</v>
      </c>
      <c r="W27" s="43" t="n">
        <f aca="false">IF(AND(ISNUMBER(P27),ISNUMBER(N27),N27&lt;&gt;0),P27/N27,"")</f>
        <v>309.260902465878</v>
      </c>
      <c r="X27" s="43" t="n">
        <f aca="false">IF(AND(ISNUMBER(W27),ISNUMBER(T27),T27&lt;&gt;0),W27*$C$5/T27,"")</f>
        <v>215.083309101597</v>
      </c>
      <c r="Y27" s="46" t="n">
        <f aca="false">IF(AND(ISNUMBER(O27),ISNUMBER(R27),ISNUMBER(V27),V27&lt;&gt;0),2*O27/(R27*V27^2),"")</f>
        <v>0.0101585219293566</v>
      </c>
      <c r="Z27" s="41" t="n">
        <v>2.96</v>
      </c>
      <c r="AA27" s="41" t="n">
        <v>1587332</v>
      </c>
      <c r="AB27" s="41" t="n">
        <v>4301495</v>
      </c>
      <c r="AC27" s="41" t="n">
        <v>0.90002</v>
      </c>
      <c r="AD27" s="41" t="n">
        <v>1.0088E-005</v>
      </c>
      <c r="AE27" s="41" t="n">
        <v>0.99364</v>
      </c>
      <c r="AF27" s="41" t="n">
        <v>0.01175</v>
      </c>
      <c r="AG27" s="35" t="str">
        <f aca="false">IF(ISNUMBER(AF27),IF(AF27&lt;0.01,"BELOW 0.01 BAR","OK"),"")</f>
        <v>OK</v>
      </c>
    </row>
    <row r="28" customFormat="false" ht="15" hidden="false" customHeight="true" outlineLevel="0" collapsed="false">
      <c r="A28" s="35" t="n">
        <v>4</v>
      </c>
      <c r="B28" s="34" t="n">
        <v>200</v>
      </c>
      <c r="C28" s="34" t="n">
        <v>20000</v>
      </c>
      <c r="D28" s="34" t="n">
        <v>500</v>
      </c>
      <c r="E28" s="41" t="n">
        <v>0.82097973</v>
      </c>
      <c r="F28" s="41" t="n">
        <v>-0.82098628</v>
      </c>
      <c r="G28" s="42" t="n">
        <f aca="false">IF(ISNUMBER(E28),ABS(E28+F28)/E28*100,"")</f>
        <v>0.000797827249637278</v>
      </c>
      <c r="H28" s="41" t="n">
        <v>9.8129116</v>
      </c>
      <c r="I28" s="41" t="n">
        <v>0</v>
      </c>
      <c r="J28" s="42" t="n">
        <f aca="false">IF(AND(ISNUMBER(H28),ISNUMBER(I28)),H28-I28,"")</f>
        <v>9.8129116</v>
      </c>
      <c r="K28" s="41" t="n">
        <v>509.6559</v>
      </c>
      <c r="L28" s="43" t="n">
        <f aca="false">IF(AND(ISNUMBER(D28),ISNUMBER(K28)),AVERAGE(D28,K28),"")</f>
        <v>504.82795</v>
      </c>
      <c r="M28" s="41" t="n">
        <v>600.03473</v>
      </c>
      <c r="N28" s="43" t="n">
        <f aca="false">IF(AND(ISNUMBER(M28),ISNUMBER(L28)),M28-L28,"")</f>
        <v>95.20678</v>
      </c>
      <c r="O28" s="41" t="n">
        <v>0.42980233</v>
      </c>
      <c r="P28" s="41" t="n">
        <v>37755.56</v>
      </c>
      <c r="Q28" s="41" t="n">
        <v>15656.891</v>
      </c>
      <c r="R28" s="44" t="n">
        <f aca="false">IF(ISNUMBER(L28),$B$17+$C$17*L28+$D$17*L28^2+$E$17*L28^3+$F$17*L28^4,"")</f>
        <v>741.539071750715</v>
      </c>
      <c r="S28" s="45" t="n">
        <f aca="false">IF(ISNUMBER(L28),$B$18+$C$18*L28+$D$18*L28^2+$E$18*L28^3+$F$18*L28^4,"")</f>
        <v>0.000773980044400768</v>
      </c>
      <c r="T28" s="46" t="n">
        <f aca="false">IF(ISNUMBER(L28),$B$19+$C$19*L28+$D$19*L28^2+$E$19*L28^3+$F$19*L28^4,"")</f>
        <v>0.0952080366925887</v>
      </c>
      <c r="U28" s="43" t="n">
        <f aca="false">IF(ISNUMBER(L28),$B$20+$C$20*L28+$D$20*L28^2+$E$20*L28^3+$F$20*L28^4,"")</f>
        <v>1970.0461386</v>
      </c>
      <c r="V28" s="45" t="n">
        <f aca="false">IF(AND(ISNUMBER(E28),ISNUMBER(R28)),E28/(R28*$C$13),"")</f>
        <v>0.328021057266545</v>
      </c>
      <c r="W28" s="43" t="n">
        <f aca="false">IF(AND(ISNUMBER(P28),ISNUMBER(N28),N28&lt;&gt;0),P28/N28,"")</f>
        <v>396.563774134573</v>
      </c>
      <c r="X28" s="43" t="n">
        <f aca="false">IF(AND(ISNUMBER(W28),ISNUMBER(T28),T28&lt;&gt;0),W28*$C$5/T28,"")</f>
        <v>274.905459687094</v>
      </c>
      <c r="Y28" s="46" t="n">
        <f aca="false">IF(AND(ISNUMBER(O28),ISNUMBER(R28),ISNUMBER(V28),V28&lt;&gt;0),2*O28/(R28*V28^2),"")</f>
        <v>0.0107736105908159</v>
      </c>
      <c r="Z28" s="41" t="n">
        <v>2.96</v>
      </c>
      <c r="AA28" s="41" t="n">
        <v>1587332</v>
      </c>
      <c r="AB28" s="41" t="n">
        <v>4301495</v>
      </c>
      <c r="AC28" s="41" t="n">
        <v>0.90002</v>
      </c>
      <c r="AD28" s="41" t="n">
        <v>1.0088E-005</v>
      </c>
      <c r="AE28" s="41" t="n">
        <v>0.99364</v>
      </c>
      <c r="AF28" s="41" t="n">
        <v>0.01175</v>
      </c>
      <c r="AG28" s="35" t="str">
        <f aca="false">IF(ISNUMBER(AF28),IF(AF28&lt;0.01,"BELOW 0.01 BAR","OK"),"")</f>
        <v>OK</v>
      </c>
    </row>
    <row r="29" customFormat="false" ht="15" hidden="false" customHeight="true" outlineLevel="0" collapsed="false">
      <c r="A29" s="35" t="n">
        <v>5</v>
      </c>
      <c r="B29" s="34" t="n">
        <v>200</v>
      </c>
      <c r="C29" s="34" t="n">
        <v>25000</v>
      </c>
      <c r="D29" s="34" t="n">
        <v>500</v>
      </c>
      <c r="E29" s="41" t="n">
        <v>1.0262247</v>
      </c>
      <c r="F29" s="41" t="n">
        <v>-1.0262247</v>
      </c>
      <c r="G29" s="42" t="n">
        <f aca="false">IF(ISNUMBER(E29),ABS(E29+F29)/E29*100,"")</f>
        <v>0</v>
      </c>
      <c r="H29" s="41" t="n">
        <v>124.98882</v>
      </c>
      <c r="I29" s="41" t="n">
        <v>0</v>
      </c>
      <c r="J29" s="42" t="n">
        <f aca="false">IF(AND(ISNUMBER(H29),ISNUMBER(I29)),H29-I29,"")</f>
        <v>124.98882</v>
      </c>
      <c r="K29" s="41" t="n">
        <v>507.76871</v>
      </c>
      <c r="L29" s="43" t="n">
        <f aca="false">IF(AND(ISNUMBER(D29),ISNUMBER(K29)),AVERAGE(D29,K29),"")</f>
        <v>503.884355</v>
      </c>
      <c r="M29" s="41" t="n">
        <v>586.92221</v>
      </c>
      <c r="N29" s="43" t="n">
        <f aca="false">IF(AND(ISNUMBER(M29),ISNUMBER(L29)),M29-L29,"")</f>
        <v>83.0378549999999</v>
      </c>
      <c r="O29" s="41" t="n">
        <v>0.54258332</v>
      </c>
      <c r="P29" s="41" t="n">
        <v>37764.875</v>
      </c>
      <c r="Q29" s="41" t="n">
        <v>15656.891</v>
      </c>
      <c r="R29" s="44" t="n">
        <f aca="false">IF(ISNUMBER(L29),$B$17+$C$17*L29+$D$17*L29^2+$E$17*L29^3+$F$17*L29^4,"")</f>
        <v>742.507946652294</v>
      </c>
      <c r="S29" s="45" t="n">
        <f aca="false">IF(ISNUMBER(L29),$B$18+$C$18*L29+$D$18*L29^2+$E$18*L29^3+$F$18*L29^4,"")</f>
        <v>0.000780098805733688</v>
      </c>
      <c r="T29" s="46" t="n">
        <f aca="false">IF(ISNUMBER(L29),$B$19+$C$19*L29+$D$19*L29^2+$E$19*L29^3+$F$19*L29^4,"")</f>
        <v>0.0953855272447414</v>
      </c>
      <c r="U29" s="43" t="n">
        <f aca="false">IF(ISNUMBER(L29),$B$20+$C$20*L29+$D$20*L29^2+$E$20*L29^3+$F$20*L29^4,"")</f>
        <v>1968.43447834</v>
      </c>
      <c r="V29" s="45" t="n">
        <f aca="false">IF(AND(ISNUMBER(E29),ISNUMBER(R29)),E29/(R29*$C$13),"")</f>
        <v>0.409491306297172</v>
      </c>
      <c r="W29" s="43" t="n">
        <f aca="false">IF(AND(ISNUMBER(P29),ISNUMBER(N29),N29&lt;&gt;0),P29/N29,"")</f>
        <v>454.791070891704</v>
      </c>
      <c r="X29" s="43" t="n">
        <f aca="false">IF(AND(ISNUMBER(W29),ISNUMBER(T29),T29&lt;&gt;0),W29*$C$5/T29,"")</f>
        <v>314.6830713829</v>
      </c>
      <c r="Y29" s="46" t="n">
        <f aca="false">IF(AND(ISNUMBER(O29),ISNUMBER(R29),ISNUMBER(V29),V29&lt;&gt;0),2*O29/(R29*V29^2),"")</f>
        <v>0.00871577391936525</v>
      </c>
      <c r="Z29" s="41" t="n">
        <v>2.96</v>
      </c>
      <c r="AA29" s="41" t="n">
        <v>1587332</v>
      </c>
      <c r="AB29" s="41" t="n">
        <v>4301495</v>
      </c>
      <c r="AC29" s="41" t="n">
        <v>0.90002</v>
      </c>
      <c r="AD29" s="41" t="n">
        <v>1.0088E-005</v>
      </c>
      <c r="AE29" s="41" t="n">
        <v>0.99364</v>
      </c>
      <c r="AF29" s="41" t="n">
        <v>0.01175</v>
      </c>
      <c r="AG29" s="35" t="str">
        <f aca="false">IF(ISNUMBER(AF29),IF(AF29&lt;0.01,"BELOW 0.01 BAR","OK"),"")</f>
        <v>OK</v>
      </c>
    </row>
    <row r="30" customFormat="false" ht="15" hidden="false" customHeight="true" outlineLevel="0" collapsed="false">
      <c r="A30" s="35" t="n">
        <v>6</v>
      </c>
      <c r="B30" s="34" t="n">
        <v>200</v>
      </c>
      <c r="C30" s="34" t="n">
        <v>30000</v>
      </c>
      <c r="D30" s="34" t="n">
        <v>500</v>
      </c>
      <c r="E30" s="41" t="n">
        <v>1.2314696</v>
      </c>
      <c r="F30" s="41" t="n">
        <v>-1.2314696</v>
      </c>
      <c r="G30" s="42" t="n">
        <f aca="false">IF(ISNUMBER(E30),ABS(E30+F30)/E30*100,"")</f>
        <v>0</v>
      </c>
      <c r="H30" s="41" t="n">
        <v>169.12945</v>
      </c>
      <c r="I30" s="41" t="n">
        <v>0</v>
      </c>
      <c r="J30" s="42" t="n">
        <f aca="false">IF(AND(ISNUMBER(H30),ISNUMBER(I30)),H30-I30,"")</f>
        <v>169.12945</v>
      </c>
      <c r="K30" s="41" t="n">
        <v>506.47481</v>
      </c>
      <c r="L30" s="43" t="n">
        <f aca="false">IF(AND(ISNUMBER(D30),ISNUMBER(K30)),AVERAGE(D30,K30),"")</f>
        <v>503.237405</v>
      </c>
      <c r="M30" s="41" t="n">
        <v>575.93832</v>
      </c>
      <c r="N30" s="43" t="n">
        <f aca="false">IF(AND(ISNUMBER(M30),ISNUMBER(L30)),M30-L30,"")</f>
        <v>72.700915</v>
      </c>
      <c r="O30" s="41" t="n">
        <v>0.73434832</v>
      </c>
      <c r="P30" s="41" t="n">
        <v>37764.875</v>
      </c>
      <c r="Q30" s="41" t="n">
        <v>15656.891</v>
      </c>
      <c r="R30" s="44" t="n">
        <f aca="false">IF(ISNUMBER(L30),$B$17+$C$17*L30+$D$17*L30^2+$E$17*L30^3+$F$17*L30^4,"")</f>
        <v>743.171605382096</v>
      </c>
      <c r="S30" s="45" t="n">
        <f aca="false">IF(ISNUMBER(L30),$B$18+$C$18*L30+$D$18*L30^2+$E$18*L30^3+$F$18*L30^4,"")</f>
        <v>0.000784332344516289</v>
      </c>
      <c r="T30" s="46" t="n">
        <f aca="false">IF(ISNUMBER(L30),$B$19+$C$19*L30+$D$19*L30^2+$E$19*L30^3+$F$19*L30^4,"")</f>
        <v>0.0955072181757889</v>
      </c>
      <c r="U30" s="43" t="n">
        <f aca="false">IF(ISNUMBER(L30),$B$20+$C$20*L30+$D$20*L30^2+$E$20*L30^3+$F$20*L30^4,"")</f>
        <v>1967.32948774</v>
      </c>
      <c r="V30" s="45" t="n">
        <f aca="false">IF(AND(ISNUMBER(E30),ISNUMBER(R30)),E30/(R30*$C$13),"")</f>
        <v>0.490950736437241</v>
      </c>
      <c r="W30" s="43" t="n">
        <f aca="false">IF(AND(ISNUMBER(P30),ISNUMBER(N30),N30&lt;&gt;0),P30/N30,"")</f>
        <v>519.455291587458</v>
      </c>
      <c r="X30" s="43" t="n">
        <f aca="false">IF(AND(ISNUMBER(W30),ISNUMBER(T30),T30&lt;&gt;0),W30*$C$5/T30,"")</f>
        <v>358.968148163101</v>
      </c>
      <c r="Y30" s="46" t="n">
        <f aca="false">IF(AND(ISNUMBER(O30),ISNUMBER(R30),ISNUMBER(V30),V30&lt;&gt;0),2*O30/(R30*V30^2),"")</f>
        <v>0.00819911846995009</v>
      </c>
      <c r="Z30" s="41" t="n">
        <v>2.96</v>
      </c>
      <c r="AA30" s="41" t="n">
        <v>1587332</v>
      </c>
      <c r="AB30" s="41" t="n">
        <v>4301495</v>
      </c>
      <c r="AC30" s="41" t="n">
        <v>0.90002</v>
      </c>
      <c r="AD30" s="41" t="n">
        <v>1.0088E-005</v>
      </c>
      <c r="AE30" s="41" t="n">
        <v>0.99364</v>
      </c>
      <c r="AF30" s="41" t="n">
        <v>0.01175</v>
      </c>
      <c r="AG30" s="35" t="str">
        <f aca="false">IF(ISNUMBER(AF30),IF(AF30&lt;0.01,"BELOW 0.01 BAR","OK"),"")</f>
        <v>OK</v>
      </c>
    </row>
    <row r="31" customFormat="false" ht="15" hidden="false" customHeight="true" outlineLevel="0" collapsed="false">
      <c r="A31" s="35" t="n">
        <v>7</v>
      </c>
      <c r="B31" s="34" t="n">
        <v>300</v>
      </c>
      <c r="C31" s="34" t="n">
        <v>5000</v>
      </c>
      <c r="D31" s="34" t="n">
        <v>500</v>
      </c>
      <c r="E31" s="41" t="n">
        <v>0.20524493</v>
      </c>
      <c r="F31" s="41" t="n">
        <v>-0.20524493</v>
      </c>
      <c r="G31" s="42" t="n">
        <f aca="false">IF(ISNUMBER(E31),ABS(E31+F31)/E31*100,"")</f>
        <v>0</v>
      </c>
      <c r="H31" s="41" t="n">
        <v>8.3257753</v>
      </c>
      <c r="I31" s="41" t="n">
        <v>0</v>
      </c>
      <c r="J31" s="42" t="n">
        <f aca="false">IF(AND(ISNUMBER(H31),ISNUMBER(I31)),H31-I31,"")</f>
        <v>8.3257753</v>
      </c>
      <c r="K31" s="41" t="n">
        <v>538.70629</v>
      </c>
      <c r="L31" s="43" t="n">
        <f aca="false">IF(AND(ISNUMBER(D31),ISNUMBER(K31)),AVERAGE(D31,K31),"")</f>
        <v>519.353145</v>
      </c>
      <c r="M31" s="41" t="n">
        <v>777.08046</v>
      </c>
      <c r="N31" s="43" t="n">
        <f aca="false">IF(AND(ISNUMBER(M31),ISNUMBER(L31)),M31-L31,"")</f>
        <v>257.727315</v>
      </c>
      <c r="O31" s="41" t="n">
        <v>0.036206036</v>
      </c>
      <c r="P31" s="41" t="n">
        <v>37764.875</v>
      </c>
      <c r="Q31" s="41" t="n">
        <v>15656.891</v>
      </c>
      <c r="R31" s="44" t="n">
        <f aca="false">IF(ISNUMBER(L31),$B$17+$C$17*L31+$D$17*L31^2+$E$17*L31^3+$F$17*L31^4,"")</f>
        <v>726.488535125812</v>
      </c>
      <c r="S31" s="45" t="n">
        <f aca="false">IF(ISNUMBER(L31),$B$18+$C$18*L31+$D$18*L31^2+$E$18*L31^3+$F$18*L31^4,"")</f>
        <v>0.000687408139264968</v>
      </c>
      <c r="T31" s="46" t="n">
        <f aca="false">IF(ISNUMBER(L31),$B$19+$C$19*L31+$D$19*L31^2+$E$19*L31^3+$F$19*L31^4,"")</f>
        <v>0.0924757131208834</v>
      </c>
      <c r="U31" s="43" t="n">
        <f aca="false">IF(ISNUMBER(L31),$B$20+$C$20*L31+$D$20*L31^2+$E$20*L31^3+$F$20*L31^4,"")</f>
        <v>1994.85517166</v>
      </c>
      <c r="V31" s="45" t="n">
        <f aca="false">IF(AND(ISNUMBER(E31),ISNUMBER(R31)),E31/(R31*$C$13),"")</f>
        <v>0.0837041520948406</v>
      </c>
      <c r="W31" s="43" t="n">
        <f aca="false">IF(AND(ISNUMBER(P31),ISNUMBER(N31),N31&lt;&gt;0),P31/N31,"")</f>
        <v>146.530355154633</v>
      </c>
      <c r="X31" s="43" t="n">
        <f aca="false">IF(AND(ISNUMBER(W31),ISNUMBER(T31),T31&lt;&gt;0),W31*$C$5/T31,"")</f>
        <v>104.578846854243</v>
      </c>
      <c r="Y31" s="46" t="n">
        <f aca="false">IF(AND(ISNUMBER(O31),ISNUMBER(R31),ISNUMBER(V31),V31&lt;&gt;0),2*O31/(R31*V31^2),"")</f>
        <v>0.0142261769624989</v>
      </c>
      <c r="Z31" s="41"/>
      <c r="AA31" s="41"/>
      <c r="AB31" s="41"/>
      <c r="AC31" s="41"/>
      <c r="AD31" s="41"/>
      <c r="AE31" s="41"/>
      <c r="AF31" s="41"/>
      <c r="AG31" s="35" t="str">
        <f aca="false">IF(ISNUMBER(AF31),IF(AF31&lt;0.01,"BELOW 0.01 BAR","OK"),"")</f>
        <v/>
      </c>
    </row>
    <row r="32" customFormat="false" ht="15" hidden="false" customHeight="true" outlineLevel="0" collapsed="false">
      <c r="A32" s="35" t="n">
        <v>8</v>
      </c>
      <c r="B32" s="34" t="n">
        <v>300</v>
      </c>
      <c r="C32" s="34" t="n">
        <v>10000</v>
      </c>
      <c r="D32" s="34" t="n">
        <v>500</v>
      </c>
      <c r="E32" s="41" t="n">
        <v>0.41048986</v>
      </c>
      <c r="F32" s="41" t="n">
        <v>-0.41048979</v>
      </c>
      <c r="G32" s="42" t="n">
        <f aca="false">IF(ISNUMBER(E32),ABS(E32+F32)/E32*100,"")</f>
        <v>1.70527963743502E-005</v>
      </c>
      <c r="H32" s="41" t="n">
        <v>25.285965</v>
      </c>
      <c r="I32" s="41" t="n">
        <v>0</v>
      </c>
      <c r="J32" s="42" t="n">
        <f aca="false">IF(AND(ISNUMBER(H32),ISNUMBER(I32)),H32-I32,"")</f>
        <v>25.285965</v>
      </c>
      <c r="K32" s="41" t="n">
        <v>519.39473</v>
      </c>
      <c r="L32" s="43" t="n">
        <f aca="false">IF(AND(ISNUMBER(D32),ISNUMBER(K32)),AVERAGE(D32,K32),"")</f>
        <v>509.697365</v>
      </c>
      <c r="M32" s="41" t="n">
        <v>676.26732</v>
      </c>
      <c r="N32" s="43" t="n">
        <f aca="false">IF(AND(ISNUMBER(M32),ISNUMBER(L32)),M32-L32,"")</f>
        <v>166.569955</v>
      </c>
      <c r="O32" s="41" t="n">
        <v>0.11300648</v>
      </c>
      <c r="P32" s="41" t="n">
        <v>37764.878</v>
      </c>
      <c r="Q32" s="41" t="n">
        <v>15656.891</v>
      </c>
      <c r="R32" s="44" t="n">
        <f aca="false">IF(ISNUMBER(L32),$B$17+$C$17*L32+$D$17*L32^2+$E$17*L32^3+$F$17*L32^4,"")</f>
        <v>736.522042066534</v>
      </c>
      <c r="S32" s="45" t="n">
        <f aca="false">IF(ISNUMBER(L32),$B$18+$C$18*L32+$D$18*L32^2+$E$18*L32^3+$F$18*L32^4,"")</f>
        <v>0.000743420223622011</v>
      </c>
      <c r="T32" s="46" t="n">
        <f aca="false">IF(ISNUMBER(L32),$B$19+$C$19*L32+$D$19*L32^2+$E$19*L32^3+$F$19*L32^4,"")</f>
        <v>0.0942920817288871</v>
      </c>
      <c r="U32" s="43" t="n">
        <f aca="false">IF(ISNUMBER(L32),$B$20+$C$20*L32+$D$20*L32^2+$E$20*L32^3+$F$20*L32^4,"")</f>
        <v>1978.36309942</v>
      </c>
      <c r="V32" s="45" t="n">
        <f aca="false">IF(AND(ISNUMBER(E32),ISNUMBER(R32)),E32/(R32*$C$13),"")</f>
        <v>0.165127731055293</v>
      </c>
      <c r="W32" s="43" t="n">
        <f aca="false">IF(AND(ISNUMBER(P32),ISNUMBER(N32),N32&lt;&gt;0),P32/N32,"")</f>
        <v>226.720827294454</v>
      </c>
      <c r="X32" s="43" t="n">
        <f aca="false">IF(AND(ISNUMBER(W32),ISNUMBER(T32),T32&lt;&gt;0),W32*$C$5/T32,"")</f>
        <v>158.693861956065</v>
      </c>
      <c r="Y32" s="46" t="n">
        <f aca="false">IF(AND(ISNUMBER(O32),ISNUMBER(R32),ISNUMBER(V32),V32&lt;&gt;0),2*O32/(R32*V32^2),"")</f>
        <v>0.0112540170169439</v>
      </c>
      <c r="Z32" s="41"/>
      <c r="AA32" s="41"/>
      <c r="AB32" s="41"/>
      <c r="AC32" s="41"/>
      <c r="AD32" s="41"/>
      <c r="AE32" s="41"/>
      <c r="AF32" s="41"/>
      <c r="AG32" s="35" t="str">
        <f aca="false">IF(ISNUMBER(AF32),IF(AF32&lt;0.01,"BELOW 0.01 BAR","OK"),"")</f>
        <v/>
      </c>
    </row>
    <row r="33" customFormat="false" ht="15" hidden="false" customHeight="true" outlineLevel="0" collapsed="false">
      <c r="A33" s="35" t="n">
        <v>9</v>
      </c>
      <c r="B33" s="34" t="n">
        <v>300</v>
      </c>
      <c r="C33" s="34" t="n">
        <v>15000</v>
      </c>
      <c r="D33" s="34" t="n">
        <v>500</v>
      </c>
      <c r="E33" s="41" t="n">
        <v>0.61573479</v>
      </c>
      <c r="F33" s="41" t="n">
        <v>-0.61573475</v>
      </c>
      <c r="G33" s="42" t="n">
        <f aca="false">IF(ISNUMBER(E33),ABS(E33+F33)/E33*100,"")</f>
        <v>6.49630338070483E-006</v>
      </c>
      <c r="H33" s="41" t="n">
        <v>49.699248</v>
      </c>
      <c r="I33" s="41" t="n">
        <v>0</v>
      </c>
      <c r="J33" s="42" t="n">
        <f aca="false">IF(AND(ISNUMBER(H33),ISNUMBER(I33)),H33-I33,"")</f>
        <v>49.699248</v>
      </c>
      <c r="K33" s="41" t="n">
        <v>512.94018</v>
      </c>
      <c r="L33" s="43" t="n">
        <f aca="false">IF(AND(ISNUMBER(D33),ISNUMBER(K33)),AVERAGE(D33,K33),"")</f>
        <v>506.47009</v>
      </c>
      <c r="M33" s="41" t="n">
        <v>629.42261</v>
      </c>
      <c r="N33" s="43" t="n">
        <f aca="false">IF(AND(ISNUMBER(M33),ISNUMBER(L33)),M33-L33,"")</f>
        <v>122.95252</v>
      </c>
      <c r="O33" s="41" t="n">
        <v>0.22481585</v>
      </c>
      <c r="P33" s="41" t="n">
        <v>37764.877</v>
      </c>
      <c r="Q33" s="41" t="n">
        <v>15656.891</v>
      </c>
      <c r="R33" s="44" t="n">
        <f aca="false">IF(ISNUMBER(L33),$B$17+$C$17*L33+$D$17*L33^2+$E$17*L33^3+$F$17*L33^4,"")</f>
        <v>739.850363255017</v>
      </c>
      <c r="S33" s="45" t="n">
        <f aca="false">IF(ISNUMBER(L33),$B$18+$C$18*L33+$D$18*L33^2+$E$18*L33^3+$F$18*L33^4,"")</f>
        <v>0.000763486908840247</v>
      </c>
      <c r="T33" s="46" t="n">
        <f aca="false">IF(ISNUMBER(L33),$B$19+$C$19*L33+$D$19*L33^2+$E$19*L33^3+$F$19*L33^4,"")</f>
        <v>0.0948991471366991</v>
      </c>
      <c r="U33" s="43" t="n">
        <f aca="false">IF(ISNUMBER(L33),$B$20+$C$20*L33+$D$20*L33^2+$E$20*L33^3+$F$20*L33^4,"")</f>
        <v>1972.85091372</v>
      </c>
      <c r="V33" s="45" t="n">
        <f aca="false">IF(AND(ISNUMBER(E33),ISNUMBER(R33)),E33/(R33*$C$13),"")</f>
        <v>0.246577321007688</v>
      </c>
      <c r="W33" s="43" t="n">
        <f aca="false">IF(AND(ISNUMBER(P33),ISNUMBER(N33),N33&lt;&gt;0),P33/N33,"")</f>
        <v>307.150085252421</v>
      </c>
      <c r="X33" s="43" t="n">
        <f aca="false">IF(AND(ISNUMBER(W33),ISNUMBER(T33),T33&lt;&gt;0),W33*$C$5/T33,"")</f>
        <v>213.61525617779</v>
      </c>
      <c r="Y33" s="46" t="n">
        <f aca="false">IF(AND(ISNUMBER(O33),ISNUMBER(R33),ISNUMBER(V33),V33&lt;&gt;0),2*O33/(R33*V33^2),"")</f>
        <v>0.00999555173644223</v>
      </c>
      <c r="Z33" s="41"/>
      <c r="AA33" s="41"/>
      <c r="AB33" s="41"/>
      <c r="AC33" s="41"/>
      <c r="AD33" s="41"/>
      <c r="AE33" s="41"/>
      <c r="AF33" s="41"/>
      <c r="AG33" s="35" t="str">
        <f aca="false">IF(ISNUMBER(AF33),IF(AF33&lt;0.01,"BELOW 0.01 BAR","OK"),"")</f>
        <v/>
      </c>
    </row>
    <row r="34" customFormat="false" ht="15" hidden="false" customHeight="true" outlineLevel="0" collapsed="false">
      <c r="A34" s="35" t="n">
        <v>10</v>
      </c>
      <c r="B34" s="34" t="n">
        <v>300</v>
      </c>
      <c r="C34" s="34" t="n">
        <v>20000</v>
      </c>
      <c r="D34" s="34" t="n">
        <v>500</v>
      </c>
      <c r="E34" s="41" t="n">
        <v>0.82097972</v>
      </c>
      <c r="F34" s="41" t="n">
        <v>-0.82097971</v>
      </c>
      <c r="G34" s="42" t="n">
        <f aca="false">IF(ISNUMBER(E34),ABS(E34+F34)/E34*100,"")</f>
        <v>1.21805687712058E-006</v>
      </c>
      <c r="H34" s="41" t="n">
        <v>80.572198</v>
      </c>
      <c r="I34" s="41" t="n">
        <v>0</v>
      </c>
      <c r="J34" s="42" t="n">
        <f aca="false">IF(AND(ISNUMBER(H34),ISNUMBER(I34)),H34-I34,"")</f>
        <v>80.572198</v>
      </c>
      <c r="K34" s="41" t="n">
        <v>509.70877</v>
      </c>
      <c r="L34" s="43" t="n">
        <f aca="false">IF(AND(ISNUMBER(D34),ISNUMBER(K34)),AVERAGE(D34,K34),"")</f>
        <v>504.854385</v>
      </c>
      <c r="M34" s="41" t="n">
        <v>603.58067</v>
      </c>
      <c r="N34" s="43" t="n">
        <f aca="false">IF(AND(ISNUMBER(M34),ISNUMBER(L34)),M34-L34,"")</f>
        <v>98.7262850000001</v>
      </c>
      <c r="O34" s="41" t="n">
        <v>0.36636378</v>
      </c>
      <c r="P34" s="41" t="n">
        <v>37764.875</v>
      </c>
      <c r="Q34" s="41" t="n">
        <v>15656.891</v>
      </c>
      <c r="R34" s="44" t="n">
        <f aca="false">IF(ISNUMBER(L34),$B$17+$C$17*L34+$D$17*L34^2+$E$17*L34^3+$F$17*L34^4,"")</f>
        <v>741.511912985682</v>
      </c>
      <c r="S34" s="45" t="n">
        <f aca="false">IF(ISNUMBER(L34),$B$18+$C$18*L34+$D$18*L34^2+$E$18*L34^3+$F$18*L34^4,"")</f>
        <v>0.00077380957333905</v>
      </c>
      <c r="T34" s="46" t="n">
        <f aca="false">IF(ISNUMBER(L34),$B$19+$C$19*L34+$D$19*L34^2+$E$19*L34^3+$F$19*L34^4,"")</f>
        <v>0.0952030642450161</v>
      </c>
      <c r="U34" s="43" t="n">
        <f aca="false">IF(ISNUMBER(L34),$B$20+$C$20*L34+$D$20*L34^2+$E$20*L34^3+$F$20*L34^4,"")</f>
        <v>1970.09128958</v>
      </c>
      <c r="V34" s="45" t="n">
        <f aca="false">IF(AND(ISNUMBER(E34),ISNUMBER(R34)),E34/(R34*$C$13),"")</f>
        <v>0.328033067436386</v>
      </c>
      <c r="W34" s="43" t="n">
        <f aca="false">IF(AND(ISNUMBER(P34),ISNUMBER(N34),N34&lt;&gt;0),P34/N34,"")</f>
        <v>382.520977062998</v>
      </c>
      <c r="X34" s="43" t="n">
        <f aca="false">IF(AND(ISNUMBER(W34),ISNUMBER(T34),T34&lt;&gt;0),W34*$C$5/T34,"")</f>
        <v>265.184578735652</v>
      </c>
      <c r="Y34" s="46" t="n">
        <f aca="false">IF(AND(ISNUMBER(O34),ISNUMBER(R34),ISNUMBER(V34),V34&lt;&gt;0),2*O34/(R34*V34^2),"")</f>
        <v>0.00918309641528309</v>
      </c>
      <c r="Z34" s="41"/>
      <c r="AA34" s="41"/>
      <c r="AB34" s="41"/>
      <c r="AC34" s="41"/>
      <c r="AD34" s="41"/>
      <c r="AE34" s="41"/>
      <c r="AF34" s="41"/>
      <c r="AG34" s="35" t="str">
        <f aca="false">IF(ISNUMBER(AF34),IF(AF34&lt;0.01,"BELOW 0.01 BAR","OK"),"")</f>
        <v/>
      </c>
    </row>
    <row r="35" customFormat="false" ht="15" hidden="false" customHeight="true" outlineLevel="0" collapsed="false">
      <c r="A35" s="35" t="n">
        <v>11</v>
      </c>
      <c r="B35" s="34" t="n">
        <v>300</v>
      </c>
      <c r="C35" s="34" t="n">
        <v>25000</v>
      </c>
      <c r="D35" s="34" t="n">
        <v>500</v>
      </c>
      <c r="E35" s="41" t="n">
        <v>1.0262246</v>
      </c>
      <c r="F35" s="41" t="n">
        <v>-1.0262247</v>
      </c>
      <c r="G35" s="42" t="n">
        <f aca="false">IF(ISNUMBER(E35),ABS(E35+F35)/E35*100,"")</f>
        <v>9.74445555664781E-006</v>
      </c>
      <c r="H35" s="41" t="n">
        <v>116.99949</v>
      </c>
      <c r="I35" s="41" t="n">
        <v>0</v>
      </c>
      <c r="J35" s="42" t="n">
        <f aca="false">IF(AND(ISNUMBER(H35),ISNUMBER(I35)),H35-I35,"")</f>
        <v>116.99949</v>
      </c>
      <c r="K35" s="41" t="n">
        <v>507.76866</v>
      </c>
      <c r="L35" s="43" t="n">
        <f aca="false">IF(AND(ISNUMBER(D35),ISNUMBER(K35)),AVERAGE(D35,K35),"")</f>
        <v>503.88433</v>
      </c>
      <c r="M35" s="41" t="n">
        <v>587.56358</v>
      </c>
      <c r="N35" s="43" t="n">
        <f aca="false">IF(AND(ISNUMBER(M35),ISNUMBER(L35)),M35-L35,"")</f>
        <v>83.67925</v>
      </c>
      <c r="O35" s="41" t="n">
        <v>0.53314748</v>
      </c>
      <c r="P35" s="41" t="n">
        <v>37764.875</v>
      </c>
      <c r="Q35" s="41" t="n">
        <v>15656.891</v>
      </c>
      <c r="R35" s="44" t="n">
        <f aca="false">IF(ISNUMBER(L35),$B$17+$C$17*L35+$D$17*L35^2+$E$17*L35^3+$F$17*L35^4,"")</f>
        <v>742.50797230777</v>
      </c>
      <c r="S35" s="45" t="n">
        <f aca="false">IF(ISNUMBER(L35),$B$18+$C$18*L35+$D$18*L35^2+$E$18*L35^3+$F$18*L35^4,"")</f>
        <v>0.000780098968723109</v>
      </c>
      <c r="T35" s="46" t="n">
        <f aca="false">IF(ISNUMBER(L35),$B$19+$C$19*L35+$D$19*L35^2+$E$19*L35^3+$F$19*L35^4,"")</f>
        <v>0.0953855319472366</v>
      </c>
      <c r="U35" s="43" t="n">
        <f aca="false">IF(ISNUMBER(L35),$B$20+$C$20*L35+$D$20*L35^2+$E$20*L35^3+$F$20*L35^4,"")</f>
        <v>1968.43443564</v>
      </c>
      <c r="V35" s="45" t="n">
        <f aca="false">IF(AND(ISNUMBER(E35),ISNUMBER(R35)),E35/(R35*$C$13),"")</f>
        <v>0.409491252245547</v>
      </c>
      <c r="W35" s="43" t="n">
        <f aca="false">IF(AND(ISNUMBER(P35),ISNUMBER(N35),N35&lt;&gt;0),P35/N35,"")</f>
        <v>451.305132395426</v>
      </c>
      <c r="X35" s="43" t="n">
        <f aca="false">IF(AND(ISNUMBER(W35),ISNUMBER(T35),T35&lt;&gt;0),W35*$C$5/T35,"")</f>
        <v>312.271034506309</v>
      </c>
      <c r="Y35" s="46" t="n">
        <f aca="false">IF(AND(ISNUMBER(O35),ISNUMBER(R35),ISNUMBER(V35),V35&lt;&gt;0),2*O35/(R35*V35^2),"")</f>
        <v>0.00856420349878586</v>
      </c>
      <c r="Z35" s="41"/>
      <c r="AA35" s="41"/>
      <c r="AB35" s="41"/>
      <c r="AC35" s="41"/>
      <c r="AD35" s="41"/>
      <c r="AE35" s="41"/>
      <c r="AF35" s="41"/>
      <c r="AG35" s="35" t="str">
        <f aca="false">IF(ISNUMBER(AF35),IF(AF35&lt;0.01,"BELOW 0.01 BAR","OK"),"")</f>
        <v/>
      </c>
    </row>
    <row r="36" customFormat="false" ht="15" hidden="false" customHeight="true" outlineLevel="0" collapsed="false">
      <c r="A36" s="35" t="n">
        <v>12</v>
      </c>
      <c r="B36" s="34" t="n">
        <v>300</v>
      </c>
      <c r="C36" s="34" t="n">
        <v>30000</v>
      </c>
      <c r="D36" s="34" t="n">
        <v>500</v>
      </c>
      <c r="E36" s="41" t="n">
        <v>1.2314696</v>
      </c>
      <c r="F36" s="41" t="n">
        <v>-1.2314696</v>
      </c>
      <c r="G36" s="42" t="n">
        <f aca="false">IF(ISNUMBER(E36),ABS(E36+F36)/E36*100,"")</f>
        <v>0</v>
      </c>
      <c r="H36" s="41" t="n">
        <v>158.27004</v>
      </c>
      <c r="I36" s="41" t="n">
        <v>0</v>
      </c>
      <c r="J36" s="42" t="n">
        <f aca="false">IF(AND(ISNUMBER(H36),ISNUMBER(I36)),H36-I36,"")</f>
        <v>158.27004</v>
      </c>
      <c r="K36" s="41" t="n">
        <v>506.47478</v>
      </c>
      <c r="L36" s="43" t="n">
        <f aca="false">IF(AND(ISNUMBER(D36),ISNUMBER(K36)),AVERAGE(D36,K36),"")</f>
        <v>503.23739</v>
      </c>
      <c r="M36" s="41" t="n">
        <v>576.52539</v>
      </c>
      <c r="N36" s="43" t="n">
        <f aca="false">IF(AND(ISNUMBER(M36),ISNUMBER(L36)),M36-L36,"")</f>
        <v>73.288</v>
      </c>
      <c r="O36" s="41" t="n">
        <v>0.7212604</v>
      </c>
      <c r="P36" s="41" t="n">
        <v>37764.875</v>
      </c>
      <c r="Q36" s="41" t="n">
        <v>15656.891</v>
      </c>
      <c r="R36" s="44" t="n">
        <f aca="false">IF(ISNUMBER(L36),$B$17+$C$17*L36+$D$17*L36^2+$E$17*L36^3+$F$17*L36^4,"")</f>
        <v>743.171620763618</v>
      </c>
      <c r="S36" s="45" t="n">
        <f aca="false">IF(ISNUMBER(L36),$B$18+$C$18*L36+$D$18*L36^2+$E$18*L36^3+$F$18*L36^4,"")</f>
        <v>0.000784332443039264</v>
      </c>
      <c r="T36" s="46" t="n">
        <f aca="false">IF(ISNUMBER(L36),$B$19+$C$19*L36+$D$19*L36^2+$E$19*L36^3+$F$19*L36^4,"")</f>
        <v>0.0955072209972749</v>
      </c>
      <c r="U36" s="43" t="n">
        <f aca="false">IF(ISNUMBER(L36),$B$20+$C$20*L36+$D$20*L36^2+$E$20*L36^3+$F$20*L36^4,"")</f>
        <v>1967.32946212</v>
      </c>
      <c r="V36" s="45" t="n">
        <f aca="false">IF(AND(ISNUMBER(E36),ISNUMBER(R36)),E36/(R36*$C$13),"")</f>
        <v>0.490950726275969</v>
      </c>
      <c r="W36" s="43" t="n">
        <f aca="false">IF(AND(ISNUMBER(P36),ISNUMBER(N36),N36&lt;&gt;0),P36/N36,"")</f>
        <v>515.294113633883</v>
      </c>
      <c r="X36" s="43" t="n">
        <f aca="false">IF(AND(ISNUMBER(W36),ISNUMBER(T36),T36&lt;&gt;0),W36*$C$5/T36,"")</f>
        <v>356.09256708251</v>
      </c>
      <c r="Y36" s="46" t="n">
        <f aca="false">IF(AND(ISNUMBER(O36),ISNUMBER(R36),ISNUMBER(V36),V36&lt;&gt;0),2*O36/(R36*V36^2),"")</f>
        <v>0.00805298988044286</v>
      </c>
      <c r="Z36" s="41"/>
      <c r="AA36" s="41"/>
      <c r="AB36" s="41"/>
      <c r="AC36" s="41"/>
      <c r="AD36" s="41"/>
      <c r="AE36" s="41"/>
      <c r="AF36" s="41"/>
      <c r="AG36" s="35" t="str">
        <f aca="false">IF(ISNUMBER(AF36),IF(AF36&lt;0.01,"BELOW 0.01 BAR","OK"),"")</f>
        <v/>
      </c>
    </row>
    <row r="37" customFormat="false" ht="15" hidden="false" customHeight="true" outlineLevel="0" collapsed="false">
      <c r="A37" s="35" t="n">
        <v>13</v>
      </c>
      <c r="B37" s="34" t="n">
        <v>400</v>
      </c>
      <c r="C37" s="34" t="n">
        <v>5000</v>
      </c>
      <c r="D37" s="34" t="n">
        <v>500</v>
      </c>
      <c r="E37" s="41" t="n">
        <v>0.20524493</v>
      </c>
      <c r="F37" s="41" t="n">
        <v>-0.20524494</v>
      </c>
      <c r="G37" s="42" t="n">
        <f aca="false">IF(ISNUMBER(E37),ABS(E37+F37)/E37*100,"")</f>
        <v>4.87222753552862E-006</v>
      </c>
      <c r="H37" s="41" t="n">
        <v>8.1802603</v>
      </c>
      <c r="I37" s="41" t="n">
        <v>0</v>
      </c>
      <c r="J37" s="42" t="n">
        <f aca="false">IF(AND(ISNUMBER(H37),ISNUMBER(I37)),H37-I37,"")</f>
        <v>8.1802603</v>
      </c>
      <c r="K37" s="41" t="n">
        <v>538.70604</v>
      </c>
      <c r="L37" s="43" t="n">
        <f aca="false">IF(AND(ISNUMBER(D37),ISNUMBER(K37)),AVERAGE(D37,K37),"")</f>
        <v>519.35302</v>
      </c>
      <c r="M37" s="41" t="n">
        <v>777.46422</v>
      </c>
      <c r="N37" s="43" t="n">
        <f aca="false">IF(AND(ISNUMBER(M37),ISNUMBER(L37)),M37-L37,"")</f>
        <v>258.1112</v>
      </c>
      <c r="O37" s="41" t="n">
        <v>0.036044457</v>
      </c>
      <c r="P37" s="41" t="n">
        <v>37764.874</v>
      </c>
      <c r="Q37" s="41" t="n">
        <v>15656.891</v>
      </c>
      <c r="R37" s="44" t="n">
        <f aca="false">IF(ISNUMBER(L37),$B$17+$C$17*L37+$D$17*L37^2+$E$17*L37^3+$F$17*L37^4,"")</f>
        <v>726.488665747328</v>
      </c>
      <c r="S37" s="45" t="n">
        <f aca="false">IF(ISNUMBER(L37),$B$18+$C$18*L37+$D$18*L37^2+$E$18*L37^3+$F$18*L37^4,"")</f>
        <v>0.000687408828344942</v>
      </c>
      <c r="T37" s="46" t="n">
        <f aca="false">IF(ISNUMBER(L37),$B$19+$C$19*L37+$D$19*L37^2+$E$19*L37^3+$F$19*L37^4,"")</f>
        <v>0.0924757366355845</v>
      </c>
      <c r="U37" s="43" t="n">
        <f aca="false">IF(ISNUMBER(L37),$B$20+$C$20*L37+$D$20*L37^2+$E$20*L37^3+$F$20*L37^4,"")</f>
        <v>1994.85495816</v>
      </c>
      <c r="V37" s="45" t="n">
        <f aca="false">IF(AND(ISNUMBER(E37),ISNUMBER(R37)),E37/(R37*$C$13),"")</f>
        <v>0.0837041370449661</v>
      </c>
      <c r="W37" s="43" t="n">
        <f aca="false">IF(AND(ISNUMBER(P37),ISNUMBER(N37),N37&lt;&gt;0),P37/N37,"")</f>
        <v>146.312418833433</v>
      </c>
      <c r="X37" s="43" t="n">
        <f aca="false">IF(AND(ISNUMBER(W37),ISNUMBER(T37),T37&lt;&gt;0),W37*$C$5/T37,"")</f>
        <v>104.423278952187</v>
      </c>
      <c r="Y37" s="46" t="n">
        <f aca="false">IF(AND(ISNUMBER(O37),ISNUMBER(R37),ISNUMBER(V37),V37&lt;&gt;0),2*O37/(R37*V37^2),"")</f>
        <v>0.0141626914361821</v>
      </c>
      <c r="Z37" s="41"/>
      <c r="AA37" s="41"/>
      <c r="AB37" s="41"/>
      <c r="AC37" s="41"/>
      <c r="AD37" s="41"/>
      <c r="AE37" s="41"/>
      <c r="AF37" s="41"/>
      <c r="AG37" s="35" t="str">
        <f aca="false">IF(ISNUMBER(AF37),IF(AF37&lt;0.01,"BELOW 0.01 BAR","OK"),"")</f>
        <v/>
      </c>
    </row>
    <row r="38" customFormat="false" ht="15" hidden="false" customHeight="true" outlineLevel="0" collapsed="false">
      <c r="A38" s="35" t="n">
        <v>14</v>
      </c>
      <c r="B38" s="34" t="n">
        <v>400</v>
      </c>
      <c r="C38" s="34" t="n">
        <v>10000</v>
      </c>
      <c r="D38" s="34" t="n">
        <v>500</v>
      </c>
      <c r="E38" s="41" t="n">
        <v>0.41048987</v>
      </c>
      <c r="F38" s="41" t="n">
        <v>-0.41048977</v>
      </c>
      <c r="G38" s="42" t="n">
        <f aca="false">IF(ISNUMBER(E38),ABS(E38+F38)/E38*100,"")</f>
        <v>2.43611370977012E-005</v>
      </c>
      <c r="H38" s="41" t="n">
        <v>24.810624</v>
      </c>
      <c r="I38" s="41" t="n">
        <v>0</v>
      </c>
      <c r="J38" s="42" t="n">
        <f aca="false">IF(AND(ISNUMBER(H38),ISNUMBER(I38)),H38-I38,"")</f>
        <v>24.810624</v>
      </c>
      <c r="K38" s="41" t="n">
        <v>519.39471</v>
      </c>
      <c r="L38" s="43" t="n">
        <f aca="false">IF(AND(ISNUMBER(D38),ISNUMBER(K38)),AVERAGE(D38,K38),"")</f>
        <v>509.697355</v>
      </c>
      <c r="M38" s="41" t="n">
        <v>676.58422</v>
      </c>
      <c r="N38" s="43" t="n">
        <f aca="false">IF(AND(ISNUMBER(M38),ISNUMBER(L38)),M38-L38,"")</f>
        <v>166.886865</v>
      </c>
      <c r="O38" s="41" t="n">
        <v>0.11250944</v>
      </c>
      <c r="P38" s="41" t="n">
        <v>37764.876</v>
      </c>
      <c r="Q38" s="41" t="n">
        <v>15656.891</v>
      </c>
      <c r="R38" s="44" t="n">
        <f aca="false">IF(ISNUMBER(L38),$B$17+$C$17*L38+$D$17*L38^2+$E$17*L38^3+$F$17*L38^4,"")</f>
        <v>736.522052399197</v>
      </c>
      <c r="S38" s="45" t="n">
        <f aca="false">IF(ISNUMBER(L38),$B$18+$C$18*L38+$D$18*L38^2+$E$18*L38^3+$F$18*L38^4,"")</f>
        <v>0.000743420284693125</v>
      </c>
      <c r="T38" s="46" t="n">
        <f aca="false">IF(ISNUMBER(L38),$B$19+$C$19*L38+$D$19*L38^2+$E$19*L38^3+$F$19*L38^4,"")</f>
        <v>0.0942920836099521</v>
      </c>
      <c r="U38" s="43" t="n">
        <f aca="false">IF(ISNUMBER(L38),$B$20+$C$20*L38+$D$20*L38^2+$E$20*L38^3+$F$20*L38^4,"")</f>
        <v>1978.36308234</v>
      </c>
      <c r="V38" s="45" t="n">
        <f aca="false">IF(AND(ISNUMBER(E38),ISNUMBER(R38)),E38/(R38*$C$13),"")</f>
        <v>0.165127732761416</v>
      </c>
      <c r="W38" s="43" t="n">
        <f aca="false">IF(AND(ISNUMBER(P38),ISNUMBER(N38),N38&lt;&gt;0),P38/N38,"")</f>
        <v>226.290283540289</v>
      </c>
      <c r="X38" s="43" t="n">
        <f aca="false">IF(AND(ISNUMBER(W38),ISNUMBER(T38),T38&lt;&gt;0),W38*$C$5/T38,"")</f>
        <v>158.392498520234</v>
      </c>
      <c r="Y38" s="46" t="n">
        <f aca="false">IF(AND(ISNUMBER(O38),ISNUMBER(R38),ISNUMBER(V38),V38&lt;&gt;0),2*O38/(R38*V38^2),"")</f>
        <v>0.0112045177267603</v>
      </c>
      <c r="Z38" s="41"/>
      <c r="AA38" s="41"/>
      <c r="AB38" s="41"/>
      <c r="AC38" s="41"/>
      <c r="AD38" s="41"/>
      <c r="AE38" s="41"/>
      <c r="AF38" s="41"/>
      <c r="AG38" s="35" t="str">
        <f aca="false">IF(ISNUMBER(AF38),IF(AF38&lt;0.01,"BELOW 0.01 BAR","OK"),"")</f>
        <v/>
      </c>
    </row>
    <row r="39" customFormat="false" ht="15" hidden="false" customHeight="true" outlineLevel="0" collapsed="false">
      <c r="A39" s="35" t="n">
        <v>15</v>
      </c>
      <c r="B39" s="34" t="n">
        <v>400</v>
      </c>
      <c r="C39" s="34" t="n">
        <v>15000</v>
      </c>
      <c r="D39" s="34" t="n">
        <v>500</v>
      </c>
      <c r="E39" s="41"/>
      <c r="F39" s="41"/>
      <c r="G39" s="42" t="str">
        <f aca="false">IF(ISNUMBER(E39),ABS(E39+F39)/E39*100,"")</f>
        <v/>
      </c>
      <c r="H39" s="41"/>
      <c r="I39" s="41" t="n">
        <v>0</v>
      </c>
      <c r="J39" s="42" t="str">
        <f aca="false">IF(AND(ISNUMBER(H39),ISNUMBER(I39)),H39-I39,"")</f>
        <v/>
      </c>
      <c r="K39" s="41"/>
      <c r="L39" s="43" t="str">
        <f aca="false">IF(AND(ISNUMBER(D39),ISNUMBER(K39)),AVERAGE(D39,K39),"")</f>
        <v/>
      </c>
      <c r="M39" s="41"/>
      <c r="N39" s="43" t="str">
        <f aca="false">IF(AND(ISNUMBER(M39),ISNUMBER(L39)),M39-L39,"")</f>
        <v/>
      </c>
      <c r="O39" s="41"/>
      <c r="P39" s="41"/>
      <c r="Q39" s="41"/>
      <c r="R39" s="44" t="str">
        <f aca="false">IF(ISNUMBER(L39),$B$17+$C$17*L39+$D$17*L39^2+$E$17*L39^3+$F$17*L39^4,"")</f>
        <v/>
      </c>
      <c r="S39" s="45" t="str">
        <f aca="false">IF(ISNUMBER(L39),$B$18+$C$18*L39+$D$18*L39^2+$E$18*L39^3+$F$18*L39^4,"")</f>
        <v/>
      </c>
      <c r="T39" s="46" t="str">
        <f aca="false">IF(ISNUMBER(L39),$B$19+$C$19*L39+$D$19*L39^2+$E$19*L39^3+$F$19*L39^4,"")</f>
        <v/>
      </c>
      <c r="U39" s="43" t="str">
        <f aca="false">IF(ISNUMBER(L39),$B$20+$C$20*L39+$D$20*L39^2+$E$20*L39^3+$F$20*L39^4,"")</f>
        <v/>
      </c>
      <c r="V39" s="45" t="str">
        <f aca="false">IF(AND(ISNUMBER(E39),ISNUMBER(R39)),E39/(R39*$C$13),"")</f>
        <v/>
      </c>
      <c r="W39" s="43" t="str">
        <f aca="false">IF(AND(ISNUMBER(P39),ISNUMBER(N39),N39&lt;&gt;0),P39/N39,"")</f>
        <v/>
      </c>
      <c r="X39" s="43" t="str">
        <f aca="false">IF(AND(ISNUMBER(W39),ISNUMBER(T39),T39&lt;&gt;0),W39*$C$5/T39,"")</f>
        <v/>
      </c>
      <c r="Y39" s="46" t="str">
        <f aca="false">IF(AND(ISNUMBER(O39),ISNUMBER(R39),ISNUMBER(V39),V39&lt;&gt;0),2*O39/(R39*V39^2),"")</f>
        <v/>
      </c>
      <c r="Z39" s="41"/>
      <c r="AA39" s="41"/>
      <c r="AB39" s="41"/>
      <c r="AC39" s="41"/>
      <c r="AD39" s="41"/>
      <c r="AE39" s="41"/>
      <c r="AF39" s="41"/>
      <c r="AG39" s="35" t="str">
        <f aca="false">IF(ISNUMBER(AF39),IF(AF39&lt;0.01,"BELOW 0.01 BAR","OK"),"")</f>
        <v/>
      </c>
    </row>
    <row r="40" customFormat="false" ht="15" hidden="false" customHeight="true" outlineLevel="0" collapsed="false">
      <c r="A40" s="35" t="n">
        <v>16</v>
      </c>
      <c r="B40" s="34" t="n">
        <v>400</v>
      </c>
      <c r="C40" s="34" t="n">
        <v>20000</v>
      </c>
      <c r="D40" s="34" t="n">
        <v>500</v>
      </c>
      <c r="E40" s="41"/>
      <c r="F40" s="41"/>
      <c r="G40" s="42" t="str">
        <f aca="false">IF(ISNUMBER(E40),ABS(E40+F40)/E40*100,"")</f>
        <v/>
      </c>
      <c r="H40" s="41"/>
      <c r="I40" s="41" t="n">
        <v>0</v>
      </c>
      <c r="J40" s="42" t="str">
        <f aca="false">IF(AND(ISNUMBER(H40),ISNUMBER(I40)),H40-I40,"")</f>
        <v/>
      </c>
      <c r="K40" s="41"/>
      <c r="L40" s="43" t="str">
        <f aca="false">IF(AND(ISNUMBER(D40),ISNUMBER(K40)),AVERAGE(D40,K40),"")</f>
        <v/>
      </c>
      <c r="M40" s="41"/>
      <c r="N40" s="43" t="str">
        <f aca="false">IF(AND(ISNUMBER(M40),ISNUMBER(L40)),M40-L40,"")</f>
        <v/>
      </c>
      <c r="O40" s="41"/>
      <c r="P40" s="41"/>
      <c r="Q40" s="41"/>
      <c r="R40" s="44" t="str">
        <f aca="false">IF(ISNUMBER(L40),$B$17+$C$17*L40+$D$17*L40^2+$E$17*L40^3+$F$17*L40^4,"")</f>
        <v/>
      </c>
      <c r="S40" s="45" t="str">
        <f aca="false">IF(ISNUMBER(L40),$B$18+$C$18*L40+$D$18*L40^2+$E$18*L40^3+$F$18*L40^4,"")</f>
        <v/>
      </c>
      <c r="T40" s="46" t="str">
        <f aca="false">IF(ISNUMBER(L40),$B$19+$C$19*L40+$D$19*L40^2+$E$19*L40^3+$F$19*L40^4,"")</f>
        <v/>
      </c>
      <c r="U40" s="43" t="str">
        <f aca="false">IF(ISNUMBER(L40),$B$20+$C$20*L40+$D$20*L40^2+$E$20*L40^3+$F$20*L40^4,"")</f>
        <v/>
      </c>
      <c r="V40" s="45" t="str">
        <f aca="false">IF(AND(ISNUMBER(E40),ISNUMBER(R40)),E40/(R40*$C$13),"")</f>
        <v/>
      </c>
      <c r="W40" s="43" t="str">
        <f aca="false">IF(AND(ISNUMBER(P40),ISNUMBER(N40),N40&lt;&gt;0),P40/N40,"")</f>
        <v/>
      </c>
      <c r="X40" s="43" t="str">
        <f aca="false">IF(AND(ISNUMBER(W40),ISNUMBER(T40),T40&lt;&gt;0),W40*$C$5/T40,"")</f>
        <v/>
      </c>
      <c r="Y40" s="46" t="str">
        <f aca="false">IF(AND(ISNUMBER(O40),ISNUMBER(R40),ISNUMBER(V40),V40&lt;&gt;0),2*O40/(R40*V40^2),"")</f>
        <v/>
      </c>
      <c r="Z40" s="41"/>
      <c r="AA40" s="41"/>
      <c r="AB40" s="41"/>
      <c r="AC40" s="41"/>
      <c r="AD40" s="41"/>
      <c r="AE40" s="41"/>
      <c r="AF40" s="41"/>
      <c r="AG40" s="35" t="str">
        <f aca="false">IF(ISNUMBER(AF40),IF(AF40&lt;0.01,"BELOW 0.01 BAR","OK"),"")</f>
        <v/>
      </c>
    </row>
    <row r="41" customFormat="false" ht="15" hidden="false" customHeight="true" outlineLevel="0" collapsed="false">
      <c r="A41" s="35" t="n">
        <v>17</v>
      </c>
      <c r="B41" s="34" t="n">
        <v>400</v>
      </c>
      <c r="C41" s="34" t="n">
        <v>25000</v>
      </c>
      <c r="D41" s="34" t="n">
        <v>500</v>
      </c>
      <c r="E41" s="41"/>
      <c r="F41" s="41"/>
      <c r="G41" s="42" t="str">
        <f aca="false">IF(ISNUMBER(E41),ABS(E41+F41)/E41*100,"")</f>
        <v/>
      </c>
      <c r="H41" s="41"/>
      <c r="I41" s="41" t="n">
        <v>0</v>
      </c>
      <c r="J41" s="42" t="str">
        <f aca="false">IF(AND(ISNUMBER(H41),ISNUMBER(I41)),H41-I41,"")</f>
        <v/>
      </c>
      <c r="K41" s="41"/>
      <c r="L41" s="43" t="str">
        <f aca="false">IF(AND(ISNUMBER(D41),ISNUMBER(K41)),AVERAGE(D41,K41),"")</f>
        <v/>
      </c>
      <c r="M41" s="41"/>
      <c r="N41" s="43" t="str">
        <f aca="false">IF(AND(ISNUMBER(M41),ISNUMBER(L41)),M41-L41,"")</f>
        <v/>
      </c>
      <c r="O41" s="41"/>
      <c r="P41" s="41"/>
      <c r="Q41" s="41"/>
      <c r="R41" s="44" t="str">
        <f aca="false">IF(ISNUMBER(L41),$B$17+$C$17*L41+$D$17*L41^2+$E$17*L41^3+$F$17*L41^4,"")</f>
        <v/>
      </c>
      <c r="S41" s="45" t="str">
        <f aca="false">IF(ISNUMBER(L41),$B$18+$C$18*L41+$D$18*L41^2+$E$18*L41^3+$F$18*L41^4,"")</f>
        <v/>
      </c>
      <c r="T41" s="46" t="str">
        <f aca="false">IF(ISNUMBER(L41),$B$19+$C$19*L41+$D$19*L41^2+$E$19*L41^3+$F$19*L41^4,"")</f>
        <v/>
      </c>
      <c r="U41" s="43" t="str">
        <f aca="false">IF(ISNUMBER(L41),$B$20+$C$20*L41+$D$20*L41^2+$E$20*L41^3+$F$20*L41^4,"")</f>
        <v/>
      </c>
      <c r="V41" s="45" t="str">
        <f aca="false">IF(AND(ISNUMBER(E41),ISNUMBER(R41)),E41/(R41*$C$13),"")</f>
        <v/>
      </c>
      <c r="W41" s="43" t="str">
        <f aca="false">IF(AND(ISNUMBER(P41),ISNUMBER(N41),N41&lt;&gt;0),P41/N41,"")</f>
        <v/>
      </c>
      <c r="X41" s="43" t="str">
        <f aca="false">IF(AND(ISNUMBER(W41),ISNUMBER(T41),T41&lt;&gt;0),W41*$C$5/T41,"")</f>
        <v/>
      </c>
      <c r="Y41" s="46" t="str">
        <f aca="false">IF(AND(ISNUMBER(O41),ISNUMBER(R41),ISNUMBER(V41),V41&lt;&gt;0),2*O41/(R41*V41^2),"")</f>
        <v/>
      </c>
      <c r="Z41" s="41"/>
      <c r="AA41" s="41"/>
      <c r="AB41" s="41"/>
      <c r="AC41" s="41"/>
      <c r="AD41" s="41"/>
      <c r="AE41" s="41"/>
      <c r="AF41" s="41"/>
      <c r="AG41" s="35" t="str">
        <f aca="false">IF(ISNUMBER(AF41),IF(AF41&lt;0.01,"BELOW 0.01 BAR","OK"),"")</f>
        <v/>
      </c>
    </row>
    <row r="42" customFormat="false" ht="15" hidden="false" customHeight="true" outlineLevel="0" collapsed="false">
      <c r="A42" s="35" t="n">
        <v>18</v>
      </c>
      <c r="B42" s="34" t="n">
        <v>400</v>
      </c>
      <c r="C42" s="34" t="n">
        <v>30000</v>
      </c>
      <c r="D42" s="34" t="n">
        <v>500</v>
      </c>
      <c r="E42" s="41"/>
      <c r="F42" s="41"/>
      <c r="G42" s="42" t="str">
        <f aca="false">IF(ISNUMBER(E42),ABS(E42+F42)/E42*100,"")</f>
        <v/>
      </c>
      <c r="H42" s="41"/>
      <c r="I42" s="41" t="n">
        <v>0</v>
      </c>
      <c r="J42" s="42" t="str">
        <f aca="false">IF(AND(ISNUMBER(H42),ISNUMBER(I42)),H42-I42,"")</f>
        <v/>
      </c>
      <c r="K42" s="41"/>
      <c r="L42" s="43" t="str">
        <f aca="false">IF(AND(ISNUMBER(D42),ISNUMBER(K42)),AVERAGE(D42,K42),"")</f>
        <v/>
      </c>
      <c r="M42" s="41"/>
      <c r="N42" s="43" t="str">
        <f aca="false">IF(AND(ISNUMBER(M42),ISNUMBER(L42)),M42-L42,"")</f>
        <v/>
      </c>
      <c r="O42" s="41"/>
      <c r="P42" s="41"/>
      <c r="Q42" s="41"/>
      <c r="R42" s="44" t="str">
        <f aca="false">IF(ISNUMBER(L42),$B$17+$C$17*L42+$D$17*L42^2+$E$17*L42^3+$F$17*L42^4,"")</f>
        <v/>
      </c>
      <c r="S42" s="45" t="str">
        <f aca="false">IF(ISNUMBER(L42),$B$18+$C$18*L42+$D$18*L42^2+$E$18*L42^3+$F$18*L42^4,"")</f>
        <v/>
      </c>
      <c r="T42" s="46" t="str">
        <f aca="false">IF(ISNUMBER(L42),$B$19+$C$19*L42+$D$19*L42^2+$E$19*L42^3+$F$19*L42^4,"")</f>
        <v/>
      </c>
      <c r="U42" s="43" t="str">
        <f aca="false">IF(ISNUMBER(L42),$B$20+$C$20*L42+$D$20*L42^2+$E$20*L42^3+$F$20*L42^4,"")</f>
        <v/>
      </c>
      <c r="V42" s="45" t="str">
        <f aca="false">IF(AND(ISNUMBER(E42),ISNUMBER(R42)),E42/(R42*$C$13),"")</f>
        <v/>
      </c>
      <c r="W42" s="43" t="str">
        <f aca="false">IF(AND(ISNUMBER(P42),ISNUMBER(N42),N42&lt;&gt;0),P42/N42,"")</f>
        <v/>
      </c>
      <c r="X42" s="43" t="str">
        <f aca="false">IF(AND(ISNUMBER(W42),ISNUMBER(T42),T42&lt;&gt;0),W42*$C$5/T42,"")</f>
        <v/>
      </c>
      <c r="Y42" s="46" t="str">
        <f aca="false">IF(AND(ISNUMBER(O42),ISNUMBER(R42),ISNUMBER(V42),V42&lt;&gt;0),2*O42/(R42*V42^2),"")</f>
        <v/>
      </c>
      <c r="Z42" s="41"/>
      <c r="AA42" s="41"/>
      <c r="AB42" s="41"/>
      <c r="AC42" s="41"/>
      <c r="AD42" s="41"/>
      <c r="AE42" s="41"/>
      <c r="AF42" s="41"/>
      <c r="AG42" s="35" t="str">
        <f aca="false">IF(ISNUMBER(AF42),IF(AF42&lt;0.01,"BELOW 0.01 BAR","OK"),"")</f>
        <v/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5" min="14" style="0" width="12"/>
    <col collapsed="false" customWidth="true" hidden="false" outlineLevel="0" max="17" min="16" style="0" width="11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9"/>
  </cols>
  <sheetData>
    <row r="1" customFormat="false" ht="16.15" hidden="false" customHeight="false" outlineLevel="0" collapsed="false">
      <c r="A1" s="47" t="s">
        <v>132</v>
      </c>
    </row>
    <row r="2" customFormat="false" ht="15" hidden="false" customHeight="false" outlineLevel="0" collapsed="false">
      <c r="A2" s="48" t="s">
        <v>133</v>
      </c>
    </row>
    <row r="4" customFormat="false" ht="15" hidden="false" customHeight="false" outlineLevel="0" collapsed="false">
      <c r="A4" s="49" t="s">
        <v>134</v>
      </c>
    </row>
    <row r="5" customFormat="false" ht="15" hidden="false" customHeight="false" outlineLevel="0" collapsed="false">
      <c r="A5" s="0" t="s">
        <v>135</v>
      </c>
      <c r="B5" s="0" t="s">
        <v>81</v>
      </c>
      <c r="C5" s="50" t="n">
        <v>0.066</v>
      </c>
      <c r="D5" s="48" t="s">
        <v>136</v>
      </c>
    </row>
    <row r="6" customFormat="false" ht="15" hidden="false" customHeight="false" outlineLevel="0" collapsed="false">
      <c r="A6" s="0" t="s">
        <v>137</v>
      </c>
      <c r="B6" s="0" t="s">
        <v>81</v>
      </c>
      <c r="C6" s="50" t="n">
        <v>0.015</v>
      </c>
      <c r="D6" s="48" t="s">
        <v>138</v>
      </c>
    </row>
    <row r="7" customFormat="false" ht="15" hidden="false" customHeight="false" outlineLevel="0" collapsed="false">
      <c r="A7" s="0" t="s">
        <v>139</v>
      </c>
      <c r="B7" s="0" t="s">
        <v>81</v>
      </c>
      <c r="C7" s="50" t="n">
        <v>0.0129</v>
      </c>
      <c r="D7" s="48" t="s">
        <v>138</v>
      </c>
    </row>
    <row r="8" customFormat="false" ht="15" hidden="false" customHeight="false" outlineLevel="0" collapsed="false">
      <c r="A8" s="0" t="s">
        <v>140</v>
      </c>
      <c r="B8" s="0" t="s">
        <v>81</v>
      </c>
      <c r="C8" s="50" t="n">
        <v>2</v>
      </c>
      <c r="D8" s="48" t="s">
        <v>136</v>
      </c>
    </row>
    <row r="9" customFormat="false" ht="15" hidden="false" customHeight="false" outlineLevel="0" collapsed="false">
      <c r="A9" s="0" t="s">
        <v>141</v>
      </c>
      <c r="B9" s="0" t="s">
        <v>142</v>
      </c>
      <c r="C9" s="50" t="n">
        <v>500</v>
      </c>
      <c r="D9" s="48" t="s">
        <v>143</v>
      </c>
    </row>
    <row r="10" customFormat="false" ht="15" hidden="false" customHeight="false" outlineLevel="0" collapsed="false">
      <c r="A10" s="0" t="s">
        <v>144</v>
      </c>
      <c r="C10" s="0" t="n">
        <f aca="false">PI()/4*$C$5^2</f>
        <v>0.00342119439975929</v>
      </c>
      <c r="D10" s="48" t="s">
        <v>145</v>
      </c>
    </row>
    <row r="11" customFormat="false" ht="15" hidden="false" customHeight="false" outlineLevel="0" collapsed="false">
      <c r="A11" s="0" t="s">
        <v>146</v>
      </c>
      <c r="C11" s="0" t="n">
        <f aca="false">PI()/4*($C$5^2-$C$6^2)+PI()/4*$C$7^2</f>
        <v>0.00337517792136583</v>
      </c>
      <c r="D11" s="48" t="s">
        <v>147</v>
      </c>
    </row>
    <row r="13" customFormat="false" ht="15" hidden="false" customHeight="false" outlineLevel="0" collapsed="false">
      <c r="A13" s="49" t="s">
        <v>148</v>
      </c>
    </row>
    <row r="14" customFormat="false" ht="15" hidden="false" customHeight="false" outlineLevel="0" collapsed="false">
      <c r="A14" s="51" t="s">
        <v>92</v>
      </c>
      <c r="B14" s="51" t="s">
        <v>93</v>
      </c>
      <c r="C14" s="51" t="s">
        <v>94</v>
      </c>
      <c r="D14" s="51" t="s">
        <v>95</v>
      </c>
      <c r="E14" s="51" t="s">
        <v>96</v>
      </c>
      <c r="F14" s="51" t="s">
        <v>97</v>
      </c>
    </row>
    <row r="15" customFormat="false" ht="15" hidden="false" customHeight="false" outlineLevel="0" collapsed="false">
      <c r="A15" s="52" t="s">
        <v>98</v>
      </c>
      <c r="B15" s="53" t="n">
        <v>1105.7</v>
      </c>
      <c r="C15" s="53" t="n">
        <v>-0.41535</v>
      </c>
      <c r="D15" s="53" t="n">
        <v>-0.00060616</v>
      </c>
      <c r="E15" s="53" t="n">
        <v>0</v>
      </c>
      <c r="F15" s="53" t="n">
        <v>0</v>
      </c>
    </row>
    <row r="16" customFormat="false" ht="15" hidden="false" customHeight="false" outlineLevel="0" collapsed="false">
      <c r="A16" s="52" t="s">
        <v>99</v>
      </c>
      <c r="B16" s="53" t="n">
        <v>0.084866</v>
      </c>
      <c r="C16" s="53" t="n">
        <v>-0.00055412</v>
      </c>
      <c r="D16" s="53" t="n">
        <v>1.3882E-006</v>
      </c>
      <c r="E16" s="53" t="n">
        <v>-1.566E-009</v>
      </c>
      <c r="F16" s="53" t="n">
        <v>6.672E-013</v>
      </c>
    </row>
    <row r="17" customFormat="false" ht="15" hidden="false" customHeight="false" outlineLevel="0" collapsed="false">
      <c r="A17" s="52" t="s">
        <v>100</v>
      </c>
      <c r="B17" s="53" t="n">
        <v>0.19002</v>
      </c>
      <c r="C17" s="53" t="n">
        <v>-0.00018752</v>
      </c>
      <c r="D17" s="53" t="n">
        <v>-5.7534E-010</v>
      </c>
      <c r="E17" s="53" t="n">
        <v>0</v>
      </c>
      <c r="F17" s="53" t="n">
        <v>0</v>
      </c>
    </row>
    <row r="18" customFormat="false" ht="15" hidden="false" customHeight="false" outlineLevel="0" collapsed="false">
      <c r="A18" s="52" t="s">
        <v>101</v>
      </c>
      <c r="B18" s="53" t="n">
        <v>1107.8</v>
      </c>
      <c r="C18" s="53" t="n">
        <v>1.708</v>
      </c>
      <c r="D18" s="53" t="n">
        <v>0</v>
      </c>
      <c r="E18" s="53" t="n">
        <v>0</v>
      </c>
      <c r="F18" s="53" t="n">
        <v>0</v>
      </c>
    </row>
    <row r="20" customFormat="false" ht="15" hidden="false" customHeight="false" outlineLevel="0" collapsed="false">
      <c r="A20" s="49" t="s">
        <v>149</v>
      </c>
    </row>
    <row r="21" customFormat="false" ht="13.5" hidden="false" customHeight="true" outlineLevel="0" collapsed="false">
      <c r="A21" s="54" t="s">
        <v>150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5" hidden="false" customHeight="false" outlineLevel="0" collapsed="false">
      <c r="A22" s="54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</row>
    <row r="23" customFormat="false" ht="15" hidden="false" customHeight="false" outlineLevel="0" collapsed="false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</row>
    <row r="24" customFormat="false" ht="15" hidden="false" customHeight="false" outlineLevel="0" collapsed="false">
      <c r="A24" s="49" t="s">
        <v>151</v>
      </c>
    </row>
    <row r="25" customFormat="false" ht="15" hidden="false" customHeight="false" outlineLevel="0" collapsed="false">
      <c r="A25" s="55" t="s">
        <v>152</v>
      </c>
      <c r="C25" s="0" t="n">
        <f aca="false">('Stage 1 - Pt Sweep (18 Runs)'!D24+'Stage 1 - Pt Sweep (18 Runs)'!K24)/2</f>
        <v>509.545855</v>
      </c>
      <c r="D25" s="48" t="s">
        <v>142</v>
      </c>
    </row>
    <row r="26" customFormat="false" ht="15" hidden="false" customHeight="false" outlineLevel="0" collapsed="false">
      <c r="A26" s="55" t="s">
        <v>153</v>
      </c>
      <c r="C26" s="0" t="n">
        <f aca="false">$B$15+$C$15*$C$25+$D$15*$C$25^2+$E$15*$C$25^3+$F$15*$C$25^4</f>
        <v>736.67857833052</v>
      </c>
      <c r="D26" s="48" t="s">
        <v>154</v>
      </c>
    </row>
    <row r="27" customFormat="false" ht="15" hidden="false" customHeight="false" outlineLevel="0" collapsed="false">
      <c r="A27" s="55" t="s">
        <v>155</v>
      </c>
      <c r="C27" s="0" t="n">
        <f aca="false">$B$16+$C$16*$C$25+$D$16*$C$25^2+$E$16*$C$25^3+$F$16*$C$25^4</f>
        <v>0.000744346285557633</v>
      </c>
      <c r="D27" s="48" t="s">
        <v>156</v>
      </c>
    </row>
    <row r="28" customFormat="false" ht="15" hidden="false" customHeight="false" outlineLevel="0" collapsed="false">
      <c r="A28" s="55" t="s">
        <v>157</v>
      </c>
      <c r="C28" s="0" t="n">
        <f aca="false">$B$17+$C$17*$C$25+$D$17*$C$25^2+$E$17*$C$25^3+$F$17*$C$25^4</f>
        <v>0.0943205817312774</v>
      </c>
      <c r="D28" s="48" t="s">
        <v>158</v>
      </c>
    </row>
    <row r="29" customFormat="false" ht="15" hidden="false" customHeight="false" outlineLevel="0" collapsed="false">
      <c r="A29" s="55" t="s">
        <v>159</v>
      </c>
      <c r="C29" s="0" t="n">
        <f aca="false">$B$18+$C$18*$C$25+$D$18*$C$25^2+$E$18*$C$25^3+$F$18*$C$25^4</f>
        <v>1978.10432034</v>
      </c>
      <c r="D29" s="48" t="s">
        <v>160</v>
      </c>
    </row>
    <row r="30" customFormat="false" ht="15" hidden="false" customHeight="false" outlineLevel="0" collapsed="false">
      <c r="A30" s="55" t="s">
        <v>161</v>
      </c>
      <c r="C30" s="0" t="n">
        <f aca="false">'Stage 1 - Pt Sweep (18 Runs)'!E24/($C$26*$C$10)</f>
        <v>0.165646083118415</v>
      </c>
      <c r="D30" s="48" t="s">
        <v>162</v>
      </c>
    </row>
    <row r="31" customFormat="false" ht="15" hidden="false" customHeight="false" outlineLevel="0" collapsed="false">
      <c r="A31" s="55" t="s">
        <v>163</v>
      </c>
      <c r="C31" s="0" t="n">
        <f aca="false">2*'Stage 1 - Pt Sweep (18 Runs)'!O24/($C$26*$C$30^2)</f>
        <v>0.00770673595958132</v>
      </c>
      <c r="D31" s="48" t="s">
        <v>164</v>
      </c>
    </row>
    <row r="32" customFormat="false" ht="15" hidden="false" customHeight="false" outlineLevel="0" collapsed="false">
      <c r="A32" s="55" t="s">
        <v>165</v>
      </c>
      <c r="C32" s="0" t="n">
        <f aca="false">('Stage 1 - Pt Sweep (18 Runs)'!P24/('Stage 1 - Pt Sweep (18 Runs)'!M24-$C$25))*$C$5/$C$28</f>
        <v>165.567720685627</v>
      </c>
      <c r="D32" s="48" t="s">
        <v>164</v>
      </c>
    </row>
    <row r="33" customFormat="false" ht="15" hidden="false" customHeight="false" outlineLevel="0" collapsed="false">
      <c r="A33" s="55" t="s">
        <v>166</v>
      </c>
      <c r="C33" s="0" t="n">
        <f aca="false">$C$29*$C$27/$C$28</f>
        <v>15.6105335258161</v>
      </c>
      <c r="D33" s="48" t="s">
        <v>164</v>
      </c>
    </row>
    <row r="34" customFormat="false" ht="15" hidden="false" customHeight="false" outlineLevel="0" collapsed="false">
      <c r="A34" s="55" t="s">
        <v>167</v>
      </c>
      <c r="C34" s="0" t="n">
        <f aca="false">(0.79*LN(10000)-1.64)^-2/4</f>
        <v>0.00786995068918667</v>
      </c>
      <c r="D34" s="48" t="s">
        <v>164</v>
      </c>
    </row>
    <row r="35" customFormat="false" ht="15" hidden="false" customHeight="false" outlineLevel="0" collapsed="false">
      <c r="A35" s="55" t="s">
        <v>168</v>
      </c>
      <c r="C35" s="0" t="n">
        <f aca="false">((0.79*LN(10000)-1.64)^-2/8)*(10000-1000)*$C$33/(1+12.7*SQRT((0.79*LN(10000)-1.64)^-2/8)*($C$33^(2/3)-1))</f>
        <v>106.738763869046</v>
      </c>
      <c r="D35" s="48"/>
    </row>
    <row r="36" customFormat="false" ht="15" hidden="false" customHeight="false" outlineLevel="0" collapsed="false">
      <c r="A36" s="49" t="s">
        <v>169</v>
      </c>
      <c r="C36" s="0" t="n">
        <f aca="false">$C$31/$C$34</f>
        <v>0.979261022584346</v>
      </c>
      <c r="D36" s="48" t="s">
        <v>170</v>
      </c>
    </row>
    <row r="37" customFormat="false" ht="15" hidden="false" customHeight="false" outlineLevel="0" collapsed="false">
      <c r="A37" s="49" t="s">
        <v>171</v>
      </c>
      <c r="C37" s="0" t="n">
        <f aca="false">$C$32/$C$35</f>
        <v>1.55114894237258</v>
      </c>
      <c r="D37" s="48" t="s">
        <v>172</v>
      </c>
    </row>
    <row r="39" customFormat="false" ht="15" hidden="false" customHeight="false" outlineLevel="0" collapsed="false">
      <c r="A39" s="49" t="s">
        <v>173</v>
      </c>
    </row>
    <row r="40" customFormat="false" ht="30" hidden="false" customHeight="true" outlineLevel="0" collapsed="false">
      <c r="A40" s="56" t="s">
        <v>44</v>
      </c>
      <c r="B40" s="56" t="s">
        <v>103</v>
      </c>
      <c r="C40" s="56" t="s">
        <v>29</v>
      </c>
      <c r="D40" s="56" t="s">
        <v>104</v>
      </c>
      <c r="E40" s="56" t="s">
        <v>174</v>
      </c>
      <c r="F40" s="56" t="s">
        <v>175</v>
      </c>
      <c r="G40" s="56" t="s">
        <v>176</v>
      </c>
      <c r="H40" s="56" t="s">
        <v>177</v>
      </c>
      <c r="I40" s="56" t="s">
        <v>178</v>
      </c>
      <c r="J40" s="56" t="s">
        <v>179</v>
      </c>
      <c r="K40" s="56" t="s">
        <v>180</v>
      </c>
      <c r="L40" s="56" t="s">
        <v>126</v>
      </c>
      <c r="M40" s="56" t="s">
        <v>125</v>
      </c>
      <c r="N40" s="56" t="s">
        <v>181</v>
      </c>
      <c r="O40" s="56" t="s">
        <v>182</v>
      </c>
      <c r="P40" s="56" t="s">
        <v>183</v>
      </c>
      <c r="Q40" s="56" t="s">
        <v>184</v>
      </c>
      <c r="R40" s="56" t="s">
        <v>185</v>
      </c>
      <c r="S40" s="56" t="s">
        <v>186</v>
      </c>
      <c r="T40" s="56" t="s">
        <v>187</v>
      </c>
    </row>
    <row r="41" customFormat="false" ht="15" hidden="false" customHeight="false" outlineLevel="0" collapsed="false">
      <c r="A41" s="53" t="n">
        <v>1</v>
      </c>
      <c r="B41" s="53" t="n">
        <v>200</v>
      </c>
      <c r="C41" s="57" t="n">
        <f aca="false">B41/1000/$C$5</f>
        <v>3.03030303030303</v>
      </c>
      <c r="D41" s="53" t="n">
        <f aca="false">'Stage 1 - Pt Sweep (18 Runs)'!C25</f>
        <v>5000</v>
      </c>
      <c r="E41" s="57" t="n">
        <f aca="false">IF(ISNUMBER('Stage 1 - Pt Sweep (18 Runs)'!E25),('Stage 1 - Pt Sweep (18 Runs)'!D25+'Stage 1 - Pt Sweep (18 Runs)'!K25)/2,"")</f>
        <v>519.353775</v>
      </c>
      <c r="F41" s="58" t="n">
        <f aca="false">IF(ISNUMBER('Stage 1 - Pt Sweep (18 Runs)'!E25),$B$15+$C$15*$E$41+$D$15*$E$41^2+$E$15*$E$41^3+$F$15*$E$41^4,"")</f>
        <v>726.487876793082</v>
      </c>
      <c r="G41" s="59" t="n">
        <f aca="false">IF(ISNUMBER('Stage 1 - Pt Sweep (18 Runs)'!E25),$B$16+$C$16*$E$41+$D$16*$E$41^2+$E$16*$E$41^3+$F$16*$E$41^4,"")</f>
        <v>0.000687404666314985</v>
      </c>
      <c r="H41" s="60" t="n">
        <f aca="false">IF(ISNUMBER('Stage 1 - Pt Sweep (18 Runs)'!E25),$B$17+$C$17*$E$41+$D$17*$E$41^2+$E$17*$E$41^3+$F$17*$E$41^4,"")</f>
        <v>0.0924755946067893</v>
      </c>
      <c r="I41" s="58" t="n">
        <f aca="false">IF(ISNUMBER('Stage 1 - Pt Sweep (18 Runs)'!E25),$B$18+$C$18*$E$41+$D$18*$E$41^2+$E$18*$E$41^3+$F$18*$E$41^4,"")</f>
        <v>1994.8562477</v>
      </c>
      <c r="J41" s="57" t="n">
        <f aca="false">IF(ISNUMBER('Stage 1 - Pt Sweep (18 Runs)'!E25),$G$41*$I$41/$H$41,"")</f>
        <v>14.8284906858648</v>
      </c>
      <c r="K41" s="60" t="n">
        <f aca="false">IF(ISNUMBER('Stage 1 - Pt Sweep (18 Runs)'!E25),'Stage 1 - Pt Sweep (18 Runs)'!E25/($F$41*$C$11),"")</f>
        <v>0.0837042279463237</v>
      </c>
      <c r="L41" s="59" t="n">
        <f aca="false">IF(ISNUMBER('Stage 1 - Pt Sweep (18 Runs)'!E25),2*'Stage 1 - Pt Sweep (18 Runs)'!O25/($F$41*$K$41^2),"")</f>
        <v>0.0143771425545838</v>
      </c>
      <c r="M41" s="58" t="n">
        <f aca="false">IF(ISNUMBER('Stage 1 - Pt Sweep (18 Runs)'!E25),('Stage 1 - Pt Sweep (18 Runs)'!P25/('Stage 1 - Pt Sweep (18 Runs)'!M25-$E$41))*$C$5/$H$41,"")</f>
        <v>104.92705310314</v>
      </c>
      <c r="N41" s="61"/>
      <c r="O41" s="61"/>
      <c r="P41" s="58" t="n">
        <f aca="false">IF(ISNUMBER($N$41),$N$41,IF(ISNUMBER($D$41),$C$36*(0.79*LN($D$41)-1.64)^-2/4,""))</f>
        <v>0.00945463607140966</v>
      </c>
      <c r="Q41" s="58" t="n">
        <f aca="false">IF(ISNUMBER($O$41),$O$41,IF(AND(ISNUMBER($D$41),ISNUMBER($J$41)),$C$37*((0.79*LN($D$41)-1.64)^-2/8)*($D$41-1000)*$J$41/(1+12.7*SQRT((0.79*LN($D$41)-1.64)^-2/8)*($J$41^(2/3)-1)),""))</f>
        <v>81.5920411506873</v>
      </c>
      <c r="R41" s="58" t="n">
        <f aca="false">IF(AND(ISNUMBER($L$41),ISNUMBER($P$41)),$L$41/$P$41,"")</f>
        <v>1.52064473407491</v>
      </c>
      <c r="S41" s="58" t="n">
        <f aca="false">IF(AND(ISNUMBER($M$41),ISNUMBER($Q$41)),$M$41/$Q$41,"")</f>
        <v>1.28599617834485</v>
      </c>
      <c r="T41" s="58" t="n">
        <f aca="false">IF(AND(ISNUMBER($S$41),ISNUMBER($R$41),$R$41&gt;0),$S$41/$R$41^(1/3),"")</f>
        <v>1.11831398815052</v>
      </c>
    </row>
    <row r="42" customFormat="false" ht="15" hidden="false" customHeight="false" outlineLevel="0" collapsed="false">
      <c r="A42" s="53" t="n">
        <v>2</v>
      </c>
      <c r="B42" s="53" t="n">
        <v>200</v>
      </c>
      <c r="C42" s="57" t="n">
        <f aca="false">B42/1000/$C$5</f>
        <v>3.03030303030303</v>
      </c>
      <c r="D42" s="53" t="n">
        <f aca="false">'Stage 1 - Pt Sweep (18 Runs)'!C26</f>
        <v>10000</v>
      </c>
      <c r="E42" s="57" t="n">
        <f aca="false">IF(ISNUMBER('Stage 1 - Pt Sweep (18 Runs)'!E26),('Stage 1 - Pt Sweep (18 Runs)'!D26+'Stage 1 - Pt Sweep (18 Runs)'!K26)/2,"")</f>
        <v>509.69754</v>
      </c>
      <c r="F42" s="58" t="n">
        <f aca="false">IF(ISNUMBER('Stage 1 - Pt Sweep (18 Runs)'!E26),$B$15+$C$15*$E$42+$D$15*$E$42^2+$E$15*$E$42^3+$F$15*$E$42^4,"")</f>
        <v>736.521861244912</v>
      </c>
      <c r="G42" s="59" t="n">
        <f aca="false">IF(ISNUMBER('Stage 1 - Pt Sweep (18 Runs)'!E26),$B$16+$C$16*$E$42+$D$16*$E$42^2+$E$16*$E$42^3+$F$16*$E$42^4,"")</f>
        <v>0.000743419154877856</v>
      </c>
      <c r="H42" s="60" t="n">
        <f aca="false">IF(ISNUMBER('Stage 1 - Pt Sweep (18 Runs)'!E26),$B$17+$C$17*$E$42+$D$17*$E$42^2+$E$17*$E$42^3+$F$17*$E$42^4,"")</f>
        <v>0.0942920488102498</v>
      </c>
      <c r="I42" s="58" t="n">
        <f aca="false">IF(ISNUMBER('Stage 1 - Pt Sweep (18 Runs)'!E26),$B$18+$C$18*$E$42+$D$18*$E$42^2+$E$18*$E$42^3+$F$18*$E$42^4,"")</f>
        <v>1978.36339832</v>
      </c>
      <c r="J42" s="57" t="n">
        <f aca="false">IF(ISNUMBER('Stage 1 - Pt Sweep (18 Runs)'!E26),$G$42*$I$42/$H$42,"")</f>
        <v>15.5978501281697</v>
      </c>
      <c r="K42" s="60" t="n">
        <f aca="false">IF(ISNUMBER('Stage 1 - Pt Sweep (18 Runs)'!E26),'Stage 1 - Pt Sweep (18 Runs)'!E26/($F$42*$C$11),"")</f>
        <v>0.165127775618086</v>
      </c>
      <c r="L42" s="59" t="n">
        <f aca="false">IF(ISNUMBER('Stage 1 - Pt Sweep (18 Runs)'!E26),2*'Stage 1 - Pt Sweep (18 Runs)'!O26/($F$42*$K$42^2),"")</f>
        <v>0.0114194491754672</v>
      </c>
      <c r="M42" s="58" t="n">
        <f aca="false">IF(ISNUMBER('Stage 1 - Pt Sweep (18 Runs)'!E26),('Stage 1 - Pt Sweep (18 Runs)'!P26/('Stage 1 - Pt Sweep (18 Runs)'!M26-$E$42))*$C$5/$H$42,"")</f>
        <v>159.49609287329</v>
      </c>
      <c r="N42" s="61"/>
      <c r="O42" s="61"/>
      <c r="P42" s="58" t="n">
        <f aca="false">IF(ISNUMBER($N$42),$N$42,IF(ISNUMBER($D$42),$C$36*(0.79*LN($D$42)-1.64)^-2/4,""))</f>
        <v>0.00770673595958132</v>
      </c>
      <c r="Q42" s="58" t="n">
        <f aca="false">IF(ISNUMBER($O$42),$O$42,IF(AND(ISNUMBER($D$42),ISNUMBER($J$42)),$C$37*((0.79*LN($D$42)-1.64)^-2/8)*($D$42-1000)*$J$42/(1+12.7*SQRT((0.79*LN($D$42)-1.64)^-2/8)*($J$42^(2/3)-1)),""))</f>
        <v>165.519345715798</v>
      </c>
      <c r="R42" s="58" t="n">
        <f aca="false">IF(AND(ISNUMBER($L$42),ISNUMBER($P$42)),$L$42/$P$42,"")</f>
        <v>1.48174911341943</v>
      </c>
      <c r="S42" s="58" t="n">
        <f aca="false">IF(AND(ISNUMBER($M$42),ISNUMBER($Q$42)),$M$42/$Q$42,"")</f>
        <v>0.963609976728339</v>
      </c>
      <c r="T42" s="58" t="n">
        <f aca="false">IF(AND(ISNUMBER($S$42),ISNUMBER($R$42),$R$42&gt;0),$S$42/$R$42^(1/3),"")</f>
        <v>0.845232904919284</v>
      </c>
    </row>
    <row r="43" customFormat="false" ht="15" hidden="false" customHeight="false" outlineLevel="0" collapsed="false">
      <c r="A43" s="53" t="n">
        <v>3</v>
      </c>
      <c r="B43" s="53" t="n">
        <v>200</v>
      </c>
      <c r="C43" s="57" t="n">
        <f aca="false">B43/1000/$C$5</f>
        <v>3.03030303030303</v>
      </c>
      <c r="D43" s="53" t="n">
        <f aca="false">'Stage 1 - Pt Sweep (18 Runs)'!C27</f>
        <v>15000</v>
      </c>
      <c r="E43" s="57" t="n">
        <f aca="false">IF(ISNUMBER('Stage 1 - Pt Sweep (18 Runs)'!E27),('Stage 1 - Pt Sweep (18 Runs)'!D27+'Stage 1 - Pt Sweep (18 Runs)'!K27)/2,"")</f>
        <v>506.470165</v>
      </c>
      <c r="F43" s="58" t="n">
        <f aca="false">IF(ISNUMBER('Stage 1 - Pt Sweep (18 Runs)'!E27),$B$15+$C$15*$E$43+$D$15*$E$43^2+$E$15*$E$43^3+$F$15*$E$43^4,"")</f>
        <v>739.850286053477</v>
      </c>
      <c r="G43" s="59" t="n">
        <f aca="false">IF(ISNUMBER('Stage 1 - Pt Sweep (18 Runs)'!E27),$B$16+$C$16*$E$43+$D$16*$E$43^2+$E$16*$E$43^3+$F$16*$E$43^4,"")</f>
        <v>0.000763486434033761</v>
      </c>
      <c r="H43" s="60" t="n">
        <f aca="false">IF(ISNUMBER('Stage 1 - Pt Sweep (18 Runs)'!E27),$B$17+$C$17*$E$43+$D$17*$E$43^2+$E$17*$E$43^3+$F$17*$E$43^4,"")</f>
        <v>0.0948991330289903</v>
      </c>
      <c r="I43" s="58" t="n">
        <f aca="false">IF(ISNUMBER('Stage 1 - Pt Sweep (18 Runs)'!E27),$B$18+$C$18*$E$43+$D$18*$E$43^2+$E$18*$E$43^3+$F$18*$E$43^4,"")</f>
        <v>1972.85104182</v>
      </c>
      <c r="J43" s="57" t="n">
        <f aca="false">IF(ISNUMBER('Stage 1 - Pt Sweep (18 Runs)'!E27),$G$43*$I$43/$H$43,"")</f>
        <v>15.8720628811099</v>
      </c>
      <c r="K43" s="60" t="n">
        <f aca="false">IF(ISNUMBER('Stage 1 - Pt Sweep (18 Runs)'!E27),'Stage 1 - Pt Sweep (18 Runs)'!E27/($F$43*$C$11),"")</f>
        <v>0.246577350742022</v>
      </c>
      <c r="L43" s="59" t="n">
        <f aca="false">IF(ISNUMBER('Stage 1 - Pt Sweep (18 Runs)'!E27),2*'Stage 1 - Pt Sweep (18 Runs)'!O27/($F$43*$K$43^2),"")</f>
        <v>0.0101585219293566</v>
      </c>
      <c r="M43" s="58" t="n">
        <f aca="false">IF(ISNUMBER('Stage 1 - Pt Sweep (18 Runs)'!E27),('Stage 1 - Pt Sweep (18 Runs)'!P27/('Stage 1 - Pt Sweep (18 Runs)'!M27-$E$43))*$C$5/$H$43,"")</f>
        <v>215.083309101597</v>
      </c>
      <c r="N43" s="61"/>
      <c r="O43" s="61"/>
      <c r="P43" s="58" t="n">
        <f aca="false">IF(ISNUMBER($N$43),$N$43,IF(ISNUMBER($D$43),$C$36*(0.79*LN($D$43)-1.64)^-2/4,""))</f>
        <v>0.00690014438807923</v>
      </c>
      <c r="Q43" s="58" t="n">
        <f aca="false">IF(ISNUMBER($O$43),$O$43,IF(AND(ISNUMBER($D$43),ISNUMBER($J$43)),$C$37*((0.79*LN($D$43)-1.64)^-2/8)*($D$43-1000)*$J$43/(1+12.7*SQRT((0.79*LN($D$43)-1.64)^-2/8)*($J$43^(2/3)-1)),""))</f>
        <v>242.526139061672</v>
      </c>
      <c r="R43" s="58" t="n">
        <f aca="false">IF(AND(ISNUMBER($L$43),ISNUMBER($P$43)),$L$43/$P$43,"")</f>
        <v>1.47221874761151</v>
      </c>
      <c r="S43" s="58" t="n">
        <f aca="false">IF(AND(ISNUMBER($M$43),ISNUMBER($Q$43)),$M$43/$Q$43,"")</f>
        <v>0.886845887761831</v>
      </c>
      <c r="T43" s="58" t="n">
        <f aca="false">IF(AND(ISNUMBER($S$43),ISNUMBER($R$43),$R$43&gt;0),$S$43/$R$43^(1/3),"")</f>
        <v>0.779574052051454</v>
      </c>
    </row>
    <row r="44" customFormat="false" ht="15" hidden="false" customHeight="false" outlineLevel="0" collapsed="false">
      <c r="A44" s="53" t="n">
        <v>4</v>
      </c>
      <c r="B44" s="53" t="n">
        <v>200</v>
      </c>
      <c r="C44" s="57" t="n">
        <f aca="false">B44/1000/$C$5</f>
        <v>3.03030303030303</v>
      </c>
      <c r="D44" s="53" t="n">
        <f aca="false">'Stage 1 - Pt Sweep (18 Runs)'!C28</f>
        <v>20000</v>
      </c>
      <c r="E44" s="57" t="n">
        <f aca="false">IF(ISNUMBER('Stage 1 - Pt Sweep (18 Runs)'!E28),('Stage 1 - Pt Sweep (18 Runs)'!D28+'Stage 1 - Pt Sweep (18 Runs)'!K28)/2,"")</f>
        <v>504.82795</v>
      </c>
      <c r="F44" s="58" t="n">
        <f aca="false">IF(ISNUMBER('Stage 1 - Pt Sweep (18 Runs)'!E28),$B$15+$C$15*$E$44+$D$15*$E$44^2+$E$15*$E$44^3+$F$15*$E$44^4,"")</f>
        <v>741.539071750715</v>
      </c>
      <c r="G44" s="59" t="n">
        <f aca="false">IF(ISNUMBER('Stage 1 - Pt Sweep (18 Runs)'!E28),$B$16+$C$16*$E$44+$D$16*$E$44^2+$E$16*$E$44^3+$F$16*$E$44^4,"")</f>
        <v>0.000773980044400768</v>
      </c>
      <c r="H44" s="60" t="n">
        <f aca="false">IF(ISNUMBER('Stage 1 - Pt Sweep (18 Runs)'!E28),$B$17+$C$17*$E$44+$D$17*$E$44^2+$E$17*$E$44^3+$F$17*$E$44^4,"")</f>
        <v>0.0952080366925887</v>
      </c>
      <c r="I44" s="58" t="n">
        <f aca="false">IF(ISNUMBER('Stage 1 - Pt Sweep (18 Runs)'!E28),$B$18+$C$18*$E$44+$D$18*$E$44^2+$E$18*$E$44^3+$F$18*$E$44^4,"")</f>
        <v>1970.0461386</v>
      </c>
      <c r="J44" s="57" t="n">
        <f aca="false">IF(ISNUMBER('Stage 1 - Pt Sweep (18 Runs)'!E28),$G$44*$I$44/$H$44,"")</f>
        <v>16.0152068123035</v>
      </c>
      <c r="K44" s="60" t="n">
        <f aca="false">IF(ISNUMBER('Stage 1 - Pt Sweep (18 Runs)'!E28),'Stage 1 - Pt Sweep (18 Runs)'!E28/($F$44*$C$11),"")</f>
        <v>0.328021057266545</v>
      </c>
      <c r="L44" s="59" t="n">
        <f aca="false">IF(ISNUMBER('Stage 1 - Pt Sweep (18 Runs)'!E28),2*'Stage 1 - Pt Sweep (18 Runs)'!O28/($F$44*$K$44^2),"")</f>
        <v>0.0107736105908159</v>
      </c>
      <c r="M44" s="58" t="n">
        <f aca="false">IF(ISNUMBER('Stage 1 - Pt Sweep (18 Runs)'!E28),('Stage 1 - Pt Sweep (18 Runs)'!P28/('Stage 1 - Pt Sweep (18 Runs)'!M28-$E$44))*$C$5/$H$44,"")</f>
        <v>274.905459687094</v>
      </c>
      <c r="N44" s="61"/>
      <c r="O44" s="61"/>
      <c r="P44" s="58" t="n">
        <f aca="false">IF(ISNUMBER($N$44),$N$44,IF(ISNUMBER($D$44),$C$36*(0.79*LN($D$44)-1.64)^-2/4,""))</f>
        <v>0.00640226881187153</v>
      </c>
      <c r="Q44" s="58" t="n">
        <f aca="false">IF(ISNUMBER($O$44),$O$44,IF(AND(ISNUMBER($D$44),ISNUMBER($J$44)),$C$37*((0.79*LN($D$44)-1.64)^-2/8)*($D$44-1000)*$J$44/(1+12.7*SQRT((0.79*LN($D$44)-1.64)^-2/8)*($J$44^(2/3)-1)),""))</f>
        <v>315.697356288207</v>
      </c>
      <c r="R44" s="58" t="n">
        <f aca="false">IF(AND(ISNUMBER($L$44),ISNUMBER($P$44)),$L$44/$P$44,"")</f>
        <v>1.68278010614592</v>
      </c>
      <c r="S44" s="58" t="n">
        <f aca="false">IF(AND(ISNUMBER($M$44),ISNUMBER($Q$44)),$M$44/$Q$44,"")</f>
        <v>0.870787968956342</v>
      </c>
      <c r="T44" s="58" t="n">
        <f aca="false">IF(AND(ISNUMBER($S$44),ISNUMBER($R$44),$R$44&gt;0),$S$44/$R$44^(1/3),"")</f>
        <v>0.732099252966828</v>
      </c>
    </row>
    <row r="45" customFormat="false" ht="15" hidden="false" customHeight="false" outlineLevel="0" collapsed="false">
      <c r="A45" s="53" t="n">
        <v>5</v>
      </c>
      <c r="B45" s="53" t="n">
        <v>200</v>
      </c>
      <c r="C45" s="57" t="n">
        <f aca="false">B45/1000/$C$5</f>
        <v>3.03030303030303</v>
      </c>
      <c r="D45" s="53" t="n">
        <f aca="false">'Stage 1 - Pt Sweep (18 Runs)'!C29</f>
        <v>25000</v>
      </c>
      <c r="E45" s="57" t="n">
        <f aca="false">IF(ISNUMBER('Stage 1 - Pt Sweep (18 Runs)'!E29),('Stage 1 - Pt Sweep (18 Runs)'!D29+'Stage 1 - Pt Sweep (18 Runs)'!K29)/2,"")</f>
        <v>503.884355</v>
      </c>
      <c r="F45" s="58" t="n">
        <f aca="false">IF(ISNUMBER('Stage 1 - Pt Sweep (18 Runs)'!E29),$B$15+$C$15*$E$45+$D$15*$E$45^2+$E$15*$E$45^3+$F$15*$E$45^4,"")</f>
        <v>742.507946652294</v>
      </c>
      <c r="G45" s="59" t="n">
        <f aca="false">IF(ISNUMBER('Stage 1 - Pt Sweep (18 Runs)'!E29),$B$16+$C$16*$E$45+$D$16*$E$45^2+$E$16*$E$45^3+$F$16*$E$45^4,"")</f>
        <v>0.000780098805733688</v>
      </c>
      <c r="H45" s="60" t="n">
        <f aca="false">IF(ISNUMBER('Stage 1 - Pt Sweep (18 Runs)'!E29),$B$17+$C$17*$E$45+$D$17*$E$45^2+$E$17*$E$45^3+$F$17*$E$45^4,"")</f>
        <v>0.0953855272447414</v>
      </c>
      <c r="I45" s="58" t="n">
        <f aca="false">IF(ISNUMBER('Stage 1 - Pt Sweep (18 Runs)'!E29),$B$18+$C$18*$E$45+$D$18*$E$45^2+$E$18*$E$45^3+$F$18*$E$45^4,"")</f>
        <v>1968.43447834</v>
      </c>
      <c r="J45" s="57" t="n">
        <f aca="false">IF(ISNUMBER('Stage 1 - Pt Sweep (18 Runs)'!E29),$G$45*$I$45/$H$45,"")</f>
        <v>16.0985993375919</v>
      </c>
      <c r="K45" s="60" t="n">
        <f aca="false">IF(ISNUMBER('Stage 1 - Pt Sweep (18 Runs)'!E29),'Stage 1 - Pt Sweep (18 Runs)'!E29/($F$45*$C$11),"")</f>
        <v>0.409491306297172</v>
      </c>
      <c r="L45" s="59" t="n">
        <f aca="false">IF(ISNUMBER('Stage 1 - Pt Sweep (18 Runs)'!E29),2*'Stage 1 - Pt Sweep (18 Runs)'!O29/($F$45*$K$45^2),"")</f>
        <v>0.00871577391936525</v>
      </c>
      <c r="M45" s="58" t="n">
        <f aca="false">IF(ISNUMBER('Stage 1 - Pt Sweep (18 Runs)'!E29),('Stage 1 - Pt Sweep (18 Runs)'!P29/('Stage 1 - Pt Sweep (18 Runs)'!M29-$E$45))*$C$5/$H$45,"")</f>
        <v>314.6830713829</v>
      </c>
      <c r="N45" s="61"/>
      <c r="O45" s="61"/>
      <c r="P45" s="58" t="n">
        <f aca="false">IF(ISNUMBER($N$45),$N$45,IF(ISNUMBER($D$45),$C$36*(0.79*LN($D$45)-1.64)^-2/4,""))</f>
        <v>0.00605227953227261</v>
      </c>
      <c r="Q45" s="58" t="n">
        <f aca="false">IF(ISNUMBER($O$45),$O$45,IF(AND(ISNUMBER($D$45),ISNUMBER($J$45)),$C$37*((0.79*LN($D$45)-1.64)^-2/8)*($D$45-1000)*$J$45/(1+12.7*SQRT((0.79*LN($D$45)-1.64)^-2/8)*($J$45^(2/3)-1)),""))</f>
        <v>386.224194938966</v>
      </c>
      <c r="R45" s="58" t="n">
        <f aca="false">IF(AND(ISNUMBER($L$45),ISNUMBER($P$45)),$L$45/$P$45,"")</f>
        <v>1.44008119137427</v>
      </c>
      <c r="S45" s="58" t="n">
        <f aca="false">IF(AND(ISNUMBER($M$45),ISNUMBER($Q$45)),$M$45/$Q$45,"")</f>
        <v>0.814767887425147</v>
      </c>
      <c r="T45" s="58" t="n">
        <f aca="false">IF(AND(ISNUMBER($S$45),ISNUMBER($R$45),$R$45&gt;0),$S$45/$R$45^(1/3),"")</f>
        <v>0.721503171330703</v>
      </c>
    </row>
    <row r="46" customFormat="false" ht="15" hidden="false" customHeight="false" outlineLevel="0" collapsed="false">
      <c r="A46" s="53" t="n">
        <v>6</v>
      </c>
      <c r="B46" s="53" t="n">
        <v>200</v>
      </c>
      <c r="C46" s="57" t="n">
        <f aca="false">B46/1000/$C$5</f>
        <v>3.03030303030303</v>
      </c>
      <c r="D46" s="53" t="n">
        <f aca="false">'Stage 1 - Pt Sweep (18 Runs)'!C30</f>
        <v>30000</v>
      </c>
      <c r="E46" s="57" t="n">
        <f aca="false">IF(ISNUMBER('Stage 1 - Pt Sweep (18 Runs)'!E30),('Stage 1 - Pt Sweep (18 Runs)'!D30+'Stage 1 - Pt Sweep (18 Runs)'!K30)/2,"")</f>
        <v>503.237405</v>
      </c>
      <c r="F46" s="58" t="n">
        <f aca="false">IF(ISNUMBER('Stage 1 - Pt Sweep (18 Runs)'!E30),$B$15+$C$15*$E$46+$D$15*$E$46^2+$E$15*$E$46^3+$F$15*$E$46^4,"")</f>
        <v>743.171605382096</v>
      </c>
      <c r="G46" s="59" t="n">
        <f aca="false">IF(ISNUMBER('Stage 1 - Pt Sweep (18 Runs)'!E30),$B$16+$C$16*$E$46+$D$16*$E$46^2+$E$16*$E$46^3+$F$16*$E$46^4,"")</f>
        <v>0.000784332344516289</v>
      </c>
      <c r="H46" s="60" t="n">
        <f aca="false">IF(ISNUMBER('Stage 1 - Pt Sweep (18 Runs)'!E30),$B$17+$C$17*$E$46+$D$17*$E$46^2+$E$17*$E$46^3+$F$17*$E$46^4,"")</f>
        <v>0.0955072181757889</v>
      </c>
      <c r="I46" s="58" t="n">
        <f aca="false">IF(ISNUMBER('Stage 1 - Pt Sweep (18 Runs)'!E30),$B$18+$C$18*$E$46+$D$18*$E$46^2+$E$18*$E$46^3+$F$18*$E$46^4,"")</f>
        <v>1967.32948774</v>
      </c>
      <c r="J46" s="57" t="n">
        <f aca="false">IF(ISNUMBER('Stage 1 - Pt Sweep (18 Runs)'!E30),$G$46*$I$46/$H$46,"")</f>
        <v>16.1562673379833</v>
      </c>
      <c r="K46" s="60" t="n">
        <f aca="false">IF(ISNUMBER('Stage 1 - Pt Sweep (18 Runs)'!E30),'Stage 1 - Pt Sweep (18 Runs)'!E30/($F$46*$C$11),"")</f>
        <v>0.490950736437241</v>
      </c>
      <c r="L46" s="59" t="n">
        <f aca="false">IF(ISNUMBER('Stage 1 - Pt Sweep (18 Runs)'!E30),2*'Stage 1 - Pt Sweep (18 Runs)'!O30/($F$46*$K$46^2),"")</f>
        <v>0.00819911846995009</v>
      </c>
      <c r="M46" s="58" t="n">
        <f aca="false">IF(ISNUMBER('Stage 1 - Pt Sweep (18 Runs)'!E30),('Stage 1 - Pt Sweep (18 Runs)'!P30/('Stage 1 - Pt Sweep (18 Runs)'!M30-$E$46))*$C$5/$H$46,"")</f>
        <v>358.968148163101</v>
      </c>
      <c r="N46" s="61"/>
      <c r="O46" s="61"/>
      <c r="P46" s="58" t="n">
        <f aca="false">IF(ISNUMBER($N$46),$N$46,IF(ISNUMBER($D$46),$C$36*(0.79*LN($D$46)-1.64)^-2/4,""))</f>
        <v>0.00578718967344393</v>
      </c>
      <c r="Q46" s="58" t="n">
        <f aca="false">IF(ISNUMBER($O$46),$O$46,IF(AND(ISNUMBER($D$46),ISNUMBER($J$46)),$C$37*((0.79*LN($D$46)-1.64)^-2/8)*($D$46-1000)*$J$46/(1+12.7*SQRT((0.79*LN($D$46)-1.64)^-2/8)*($J$46^(2/3)-1)),""))</f>
        <v>454.820416312336</v>
      </c>
      <c r="R46" s="58" t="n">
        <f aca="false">IF(AND(ISNUMBER($L$46),ISNUMBER($P$46)),$L$46/$P$46,"")</f>
        <v>1.41677030348149</v>
      </c>
      <c r="S46" s="58" t="n">
        <f aca="false">IF(AND(ISNUMBER($M$46),ISNUMBER($Q$46)),$M$46/$Q$46,"")</f>
        <v>0.789252494585883</v>
      </c>
      <c r="T46" s="58" t="n">
        <f aca="false">IF(AND(ISNUMBER($S$46),ISNUMBER($R$46),$R$46&gt;0),$S$46/$R$46^(1/3),"")</f>
        <v>0.702720810259562</v>
      </c>
    </row>
    <row r="47" customFormat="false" ht="15" hidden="false" customHeight="false" outlineLevel="0" collapsed="false">
      <c r="A47" s="62" t="n">
        <v>7</v>
      </c>
      <c r="B47" s="62" t="n">
        <v>300</v>
      </c>
      <c r="C47" s="63" t="n">
        <f aca="false">B47/1000/$C$5</f>
        <v>4.54545454545455</v>
      </c>
      <c r="D47" s="62" t="n">
        <f aca="false">'Stage 1 - Pt Sweep (18 Runs)'!C31</f>
        <v>5000</v>
      </c>
      <c r="E47" s="63" t="n">
        <f aca="false">IF(ISNUMBER('Stage 1 - Pt Sweep (18 Runs)'!E31),('Stage 1 - Pt Sweep (18 Runs)'!D31+'Stage 1 - Pt Sweep (18 Runs)'!K31)/2,"")</f>
        <v>519.353145</v>
      </c>
      <c r="F47" s="64" t="n">
        <f aca="false">IF(ISNUMBER('Stage 1 - Pt Sweep (18 Runs)'!E31),$B$15+$C$15*$E$47+$D$15*$E$47^2+$E$15*$E$47^3+$F$15*$E$47^4,"")</f>
        <v>726.488535125812</v>
      </c>
      <c r="G47" s="65" t="n">
        <f aca="false">IF(ISNUMBER('Stage 1 - Pt Sweep (18 Runs)'!E31),$B$16+$C$16*$E$47+$D$16*$E$47^2+$E$16*$E$47^3+$F$16*$E$47^4,"")</f>
        <v>0.000687408139264968</v>
      </c>
      <c r="H47" s="66" t="n">
        <f aca="false">IF(ISNUMBER('Stage 1 - Pt Sweep (18 Runs)'!E31),$B$17+$C$17*$E$47+$D$17*$E$47^2+$E$17*$E$47^3+$F$17*$E$47^4,"")</f>
        <v>0.0924757131208834</v>
      </c>
      <c r="I47" s="64" t="n">
        <f aca="false">IF(ISNUMBER('Stage 1 - Pt Sweep (18 Runs)'!E31),$B$18+$C$18*$E$47+$D$18*$E$47^2+$E$18*$E$47^3+$F$18*$E$47^4,"")</f>
        <v>1994.85517166</v>
      </c>
      <c r="J47" s="63" t="n">
        <f aca="false">IF(ISNUMBER('Stage 1 - Pt Sweep (18 Runs)'!E31),$G$47*$I$47/$H$47,"")</f>
        <v>14.8285386008473</v>
      </c>
      <c r="K47" s="66" t="n">
        <f aca="false">IF(ISNUMBER('Stage 1 - Pt Sweep (18 Runs)'!E31),'Stage 1 - Pt Sweep (18 Runs)'!E31/($F$47*$C$11),"")</f>
        <v>0.0837041520948406</v>
      </c>
      <c r="L47" s="65" t="n">
        <f aca="false">IF(ISNUMBER('Stage 1 - Pt Sweep (18 Runs)'!E31),2*'Stage 1 - Pt Sweep (18 Runs)'!O31/($F$47*$K$47^2),"")</f>
        <v>0.0142261769624989</v>
      </c>
      <c r="M47" s="64" t="n">
        <f aca="false">IF(ISNUMBER('Stage 1 - Pt Sweep (18 Runs)'!E31),('Stage 1 - Pt Sweep (18 Runs)'!P31/('Stage 1 - Pt Sweep (18 Runs)'!M31-$E$47))*$C$5/$H$47,"")</f>
        <v>104.578846854243</v>
      </c>
      <c r="N47" s="67"/>
      <c r="O47" s="67"/>
      <c r="P47" s="64" t="n">
        <f aca="false">IF(ISNUMBER($N$47),$N$47,IF(ISNUMBER($D$47),$C$36*(0.79*LN($D$47)-1.64)^-2/4,""))</f>
        <v>0.00945463607140966</v>
      </c>
      <c r="Q47" s="64" t="n">
        <f aca="false">IF(ISNUMBER($O$47),$O$47,IF(AND(ISNUMBER($D$47),ISNUMBER($J$47)),$C$37*((0.79*LN($D$47)-1.64)^-2/8)*($D$47-1000)*$J$47/(1+12.7*SQRT((0.79*LN($D$47)-1.64)^-2/8)*($J$47^(2/3)-1)),""))</f>
        <v>81.5921328301877</v>
      </c>
      <c r="R47" s="64" t="n">
        <f aca="false">IF(AND(ISNUMBER($L$47),ISNUMBER($P$47)),$L$47/$P$47,"")</f>
        <v>1.50467737256626</v>
      </c>
      <c r="S47" s="64" t="n">
        <f aca="false">IF(AND(ISNUMBER($M$47),ISNUMBER($Q$47)),$M$47/$Q$47,"")</f>
        <v>1.28172708846693</v>
      </c>
      <c r="T47" s="64" t="n">
        <f aca="false">IF(AND(ISNUMBER($S$47),ISNUMBER($R$47),$R$47&gt;0),$S$47/$R$47^(1/3),"")</f>
        <v>1.11853033349743</v>
      </c>
    </row>
    <row r="48" customFormat="false" ht="15" hidden="false" customHeight="false" outlineLevel="0" collapsed="false">
      <c r="A48" s="62" t="n">
        <v>8</v>
      </c>
      <c r="B48" s="62" t="n">
        <v>300</v>
      </c>
      <c r="C48" s="63" t="n">
        <f aca="false">B48/1000/$C$5</f>
        <v>4.54545454545455</v>
      </c>
      <c r="D48" s="62" t="n">
        <f aca="false">'Stage 1 - Pt Sweep (18 Runs)'!C32</f>
        <v>10000</v>
      </c>
      <c r="E48" s="63" t="n">
        <f aca="false">IF(ISNUMBER('Stage 1 - Pt Sweep (18 Runs)'!E32),('Stage 1 - Pt Sweep (18 Runs)'!D32+'Stage 1 - Pt Sweep (18 Runs)'!K32)/2,"")</f>
        <v>509.697365</v>
      </c>
      <c r="F48" s="64" t="n">
        <f aca="false">IF(ISNUMBER('Stage 1 - Pt Sweep (18 Runs)'!E32),$B$15+$C$15*$E$48+$D$15*$E$48^2+$E$15*$E$48^3+$F$15*$E$48^4,"")</f>
        <v>736.522042066534</v>
      </c>
      <c r="G48" s="65" t="n">
        <f aca="false">IF(ISNUMBER('Stage 1 - Pt Sweep (18 Runs)'!E32),$B$16+$C$16*$E$48+$D$16*$E$48^2+$E$16*$E$48^3+$F$16*$E$48^4,"")</f>
        <v>0.000743420223622011</v>
      </c>
      <c r="H48" s="66" t="n">
        <f aca="false">IF(ISNUMBER('Stage 1 - Pt Sweep (18 Runs)'!E32),$B$17+$C$17*$E$48+$D$17*$E$48^2+$E$17*$E$48^3+$F$17*$E$48^4,"")</f>
        <v>0.0942920817288871</v>
      </c>
      <c r="I48" s="64" t="n">
        <f aca="false">IF(ISNUMBER('Stage 1 - Pt Sweep (18 Runs)'!E32),$B$18+$C$18*$E$48+$D$18*$E$48^2+$E$18*$E$48^3+$F$18*$E$48^4,"")</f>
        <v>1978.36309942</v>
      </c>
      <c r="J48" s="63" t="n">
        <f aca="false">IF(ISNUMBER('Stage 1 - Pt Sweep (18 Runs)'!E32),$G$48*$I$48/$H$48,"")</f>
        <v>15.597864749716</v>
      </c>
      <c r="K48" s="66" t="n">
        <f aca="false">IF(ISNUMBER('Stage 1 - Pt Sweep (18 Runs)'!E32),'Stage 1 - Pt Sweep (18 Runs)'!E32/($F$48*$C$11),"")</f>
        <v>0.165127731055293</v>
      </c>
      <c r="L48" s="65" t="n">
        <f aca="false">IF(ISNUMBER('Stage 1 - Pt Sweep (18 Runs)'!E32),2*'Stage 1 - Pt Sweep (18 Runs)'!O32/($F$48*$K$48^2),"")</f>
        <v>0.0112540170169439</v>
      </c>
      <c r="M48" s="64" t="n">
        <f aca="false">IF(ISNUMBER('Stage 1 - Pt Sweep (18 Runs)'!E32),('Stage 1 - Pt Sweep (18 Runs)'!P32/('Stage 1 - Pt Sweep (18 Runs)'!M32-$E$48))*$C$5/$H$48,"")</f>
        <v>158.693861956065</v>
      </c>
      <c r="N48" s="67"/>
      <c r="O48" s="67"/>
      <c r="P48" s="64" t="n">
        <f aca="false">IF(ISNUMBER($N$48),$N$48,IF(ISNUMBER($D$48),$C$36*(0.79*LN($D$48)-1.64)^-2/4,""))</f>
        <v>0.00770673595958132</v>
      </c>
      <c r="Q48" s="64" t="n">
        <f aca="false">IF(ISNUMBER($O$48),$O$48,IF(AND(ISNUMBER($D$48),ISNUMBER($J$48)),$C$37*((0.79*LN($D$48)-1.64)^-2/8)*($D$48-1000)*$J$48/(1+12.7*SQRT((0.79*LN($D$48)-1.64)^-2/8)*($J$48^(2/3)-1)),""))</f>
        <v>165.519401498501</v>
      </c>
      <c r="R48" s="64" t="n">
        <f aca="false">IF(AND(ISNUMBER($L$48),ISNUMBER($P$48)),$L$48/$P$48,"")</f>
        <v>1.4602831958908</v>
      </c>
      <c r="S48" s="64" t="n">
        <f aca="false">IF(AND(ISNUMBER($M$48),ISNUMBER($Q$48)),$M$48/$Q$48,"")</f>
        <v>0.958762903438254</v>
      </c>
      <c r="T48" s="64" t="n">
        <f aca="false">IF(AND(ISNUMBER($S$48),ISNUMBER($R$48),$R$48&gt;0),$S$48/$R$48^(1/3),"")</f>
        <v>0.845082015404135</v>
      </c>
    </row>
    <row r="49" customFormat="false" ht="15" hidden="false" customHeight="false" outlineLevel="0" collapsed="false">
      <c r="A49" s="62" t="n">
        <v>9</v>
      </c>
      <c r="B49" s="62" t="n">
        <v>300</v>
      </c>
      <c r="C49" s="63" t="n">
        <f aca="false">B49/1000/$C$5</f>
        <v>4.54545454545455</v>
      </c>
      <c r="D49" s="62" t="n">
        <f aca="false">'Stage 1 - Pt Sweep (18 Runs)'!C33</f>
        <v>15000</v>
      </c>
      <c r="E49" s="63" t="n">
        <f aca="false">IF(ISNUMBER('Stage 1 - Pt Sweep (18 Runs)'!E33),('Stage 1 - Pt Sweep (18 Runs)'!D33+'Stage 1 - Pt Sweep (18 Runs)'!K33)/2,"")</f>
        <v>506.47009</v>
      </c>
      <c r="F49" s="64" t="n">
        <f aca="false">IF(ISNUMBER('Stage 1 - Pt Sweep (18 Runs)'!E33),$B$15+$C$15*$E$49+$D$15*$E$49^2+$E$15*$E$49^3+$F$15*$E$49^4,"")</f>
        <v>739.850363255017</v>
      </c>
      <c r="G49" s="65" t="n">
        <f aca="false">IF(ISNUMBER('Stage 1 - Pt Sweep (18 Runs)'!E33),$B$16+$C$16*$E$49+$D$16*$E$49^2+$E$16*$E$49^3+$F$16*$E$49^4,"")</f>
        <v>0.000763486908840247</v>
      </c>
      <c r="H49" s="66" t="n">
        <f aca="false">IF(ISNUMBER('Stage 1 - Pt Sweep (18 Runs)'!E33),$B$17+$C$17*$E$49+$D$17*$E$49^2+$E$17*$E$49^3+$F$17*$E$49^4,"")</f>
        <v>0.0948991471366991</v>
      </c>
      <c r="I49" s="64" t="n">
        <f aca="false">IF(ISNUMBER('Stage 1 - Pt Sweep (18 Runs)'!E33),$B$18+$C$18*$E$49+$D$18*$E$49^2+$E$18*$E$49^3+$F$18*$E$49^4,"")</f>
        <v>1972.85091372</v>
      </c>
      <c r="J49" s="63" t="n">
        <f aca="false">IF(ISNUMBER('Stage 1 - Pt Sweep (18 Runs)'!E33),$G$49*$I$49/$H$49,"")</f>
        <v>15.8720693616882</v>
      </c>
      <c r="K49" s="66" t="n">
        <f aca="false">IF(ISNUMBER('Stage 1 - Pt Sweep (18 Runs)'!E33),'Stage 1 - Pt Sweep (18 Runs)'!E33/($F$49*$C$11),"")</f>
        <v>0.246577321007688</v>
      </c>
      <c r="L49" s="65" t="n">
        <f aca="false">IF(ISNUMBER('Stage 1 - Pt Sweep (18 Runs)'!E33),2*'Stage 1 - Pt Sweep (18 Runs)'!O33/($F$49*$K$49^2),"")</f>
        <v>0.00999555173644223</v>
      </c>
      <c r="M49" s="64" t="n">
        <f aca="false">IF(ISNUMBER('Stage 1 - Pt Sweep (18 Runs)'!E33),('Stage 1 - Pt Sweep (18 Runs)'!P33/('Stage 1 - Pt Sweep (18 Runs)'!M33-$E$49))*$C$5/$H$49,"")</f>
        <v>213.61525617779</v>
      </c>
      <c r="N49" s="67"/>
      <c r="O49" s="67"/>
      <c r="P49" s="64" t="n">
        <f aca="false">IF(ISNUMBER($N$49),$N$49,IF(ISNUMBER($D$49),$C$36*(0.79*LN($D$49)-1.64)^-2/4,""))</f>
        <v>0.00690014438807923</v>
      </c>
      <c r="Q49" s="64" t="n">
        <f aca="false">IF(ISNUMBER($O$49),$O$49,IF(AND(ISNUMBER($D$49),ISNUMBER($J$49)),$C$37*((0.79*LN($D$49)-1.64)^-2/8)*($D$49-1000)*$J$49/(1+12.7*SQRT((0.79*LN($D$49)-1.64)^-2/8)*($J$49^(2/3)-1)),""))</f>
        <v>242.526175315275</v>
      </c>
      <c r="R49" s="64" t="n">
        <f aca="false">IF(AND(ISNUMBER($L$49),ISNUMBER($P$49)),$L$49/$P$49,"")</f>
        <v>1.44860037330678</v>
      </c>
      <c r="S49" s="64" t="n">
        <f aca="false">IF(AND(ISNUMBER($M$49),ISNUMBER($Q$49)),$M$49/$Q$49,"")</f>
        <v>0.880792582079435</v>
      </c>
      <c r="T49" s="64" t="n">
        <f aca="false">IF(AND(ISNUMBER($S$49),ISNUMBER($R$49),$R$49&gt;0),$S$49/$R$49^(1/3),"")</f>
        <v>0.778438160081983</v>
      </c>
    </row>
    <row r="50" customFormat="false" ht="15" hidden="false" customHeight="false" outlineLevel="0" collapsed="false">
      <c r="A50" s="62" t="n">
        <v>10</v>
      </c>
      <c r="B50" s="62" t="n">
        <v>300</v>
      </c>
      <c r="C50" s="63" t="n">
        <f aca="false">B50/1000/$C$5</f>
        <v>4.54545454545455</v>
      </c>
      <c r="D50" s="62" t="n">
        <f aca="false">'Stage 1 - Pt Sweep (18 Runs)'!C34</f>
        <v>20000</v>
      </c>
      <c r="E50" s="63" t="n">
        <f aca="false">IF(ISNUMBER('Stage 1 - Pt Sweep (18 Runs)'!E34),('Stage 1 - Pt Sweep (18 Runs)'!D34+'Stage 1 - Pt Sweep (18 Runs)'!K34)/2,"")</f>
        <v>504.854385</v>
      </c>
      <c r="F50" s="64" t="n">
        <f aca="false">IF(ISNUMBER('Stage 1 - Pt Sweep (18 Runs)'!E34),$B$15+$C$15*$E$50+$D$15*$E$50^2+$E$15*$E$50^3+$F$15*$E$50^4,"")</f>
        <v>741.511912985682</v>
      </c>
      <c r="G50" s="65" t="n">
        <f aca="false">IF(ISNUMBER('Stage 1 - Pt Sweep (18 Runs)'!E34),$B$16+$C$16*$E$50+$D$16*$E$50^2+$E$16*$E$50^3+$F$16*$E$50^4,"")</f>
        <v>0.00077380957333905</v>
      </c>
      <c r="H50" s="66" t="n">
        <f aca="false">IF(ISNUMBER('Stage 1 - Pt Sweep (18 Runs)'!E34),$B$17+$C$17*$E$50+$D$17*$E$50^2+$E$17*$E$50^3+$F$17*$E$50^4,"")</f>
        <v>0.0952030642450161</v>
      </c>
      <c r="I50" s="64" t="n">
        <f aca="false">IF(ISNUMBER('Stage 1 - Pt Sweep (18 Runs)'!E34),$B$18+$C$18*$E$50+$D$18*$E$50^2+$E$18*$E$50^3+$F$18*$E$50^4,"")</f>
        <v>1970.09128958</v>
      </c>
      <c r="J50" s="63" t="n">
        <f aca="false">IF(ISNUMBER('Stage 1 - Pt Sweep (18 Runs)'!E34),$G$50*$I$50/$H$50,"")</f>
        <v>16.0128826978244</v>
      </c>
      <c r="K50" s="66" t="n">
        <f aca="false">IF(ISNUMBER('Stage 1 - Pt Sweep (18 Runs)'!E34),'Stage 1 - Pt Sweep (18 Runs)'!E34/($F$50*$C$11),"")</f>
        <v>0.328033067436386</v>
      </c>
      <c r="L50" s="65" t="n">
        <f aca="false">IF(ISNUMBER('Stage 1 - Pt Sweep (18 Runs)'!E34),2*'Stage 1 - Pt Sweep (18 Runs)'!O34/($F$50*$K$50^2),"")</f>
        <v>0.00918309641528309</v>
      </c>
      <c r="M50" s="64" t="n">
        <f aca="false">IF(ISNUMBER('Stage 1 - Pt Sweep (18 Runs)'!E34),('Stage 1 - Pt Sweep (18 Runs)'!P34/('Stage 1 - Pt Sweep (18 Runs)'!M34-$E$50))*$C$5/$H$50,"")</f>
        <v>265.184578735652</v>
      </c>
      <c r="N50" s="67"/>
      <c r="O50" s="67"/>
      <c r="P50" s="64" t="n">
        <f aca="false">IF(ISNUMBER($N$50),$N$50,IF(ISNUMBER($D$50),$C$36*(0.79*LN($D$50)-1.64)^-2/4,""))</f>
        <v>0.00640226881187153</v>
      </c>
      <c r="Q50" s="64" t="n">
        <f aca="false">IF(ISNUMBER($O$50),$O$50,IF(AND(ISNUMBER($D$50),ISNUMBER($J$50)),$C$37*((0.79*LN($D$50)-1.64)^-2/8)*($D$50-1000)*$J$50/(1+12.7*SQRT((0.79*LN($D$50)-1.64)^-2/8)*($J$50^(2/3)-1)),""))</f>
        <v>315.680372606794</v>
      </c>
      <c r="R50" s="64" t="n">
        <f aca="false">IF(AND(ISNUMBER($L$50),ISNUMBER($P$50)),$L$50/$P$50,"")</f>
        <v>1.4343503350336</v>
      </c>
      <c r="S50" s="64" t="n">
        <f aca="false">IF(AND(ISNUMBER($M$50),ISNUMBER($Q$50)),$M$50/$Q$50,"")</f>
        <v>0.840041389161567</v>
      </c>
      <c r="T50" s="64" t="n">
        <f aca="false">IF(AND(ISNUMBER($S$50),ISNUMBER($R$50),$R$50&gt;0),$S$50/$R$50^(1/3),"")</f>
        <v>0.744873066953454</v>
      </c>
    </row>
    <row r="51" customFormat="false" ht="15" hidden="false" customHeight="false" outlineLevel="0" collapsed="false">
      <c r="A51" s="62" t="n">
        <v>11</v>
      </c>
      <c r="B51" s="62" t="n">
        <v>300</v>
      </c>
      <c r="C51" s="63" t="n">
        <f aca="false">B51/1000/$C$5</f>
        <v>4.54545454545455</v>
      </c>
      <c r="D51" s="62" t="n">
        <f aca="false">'Stage 1 - Pt Sweep (18 Runs)'!C35</f>
        <v>25000</v>
      </c>
      <c r="E51" s="63" t="n">
        <f aca="false">IF(ISNUMBER('Stage 1 - Pt Sweep (18 Runs)'!E35),('Stage 1 - Pt Sweep (18 Runs)'!D35+'Stage 1 - Pt Sweep (18 Runs)'!K35)/2,"")</f>
        <v>503.88433</v>
      </c>
      <c r="F51" s="64" t="n">
        <f aca="false">IF(ISNUMBER('Stage 1 - Pt Sweep (18 Runs)'!E35),$B$15+$C$15*$E$51+$D$15*$E$51^2+$E$15*$E$51^3+$F$15*$E$51^4,"")</f>
        <v>742.50797230777</v>
      </c>
      <c r="G51" s="65" t="n">
        <f aca="false">IF(ISNUMBER('Stage 1 - Pt Sweep (18 Runs)'!E35),$B$16+$C$16*$E$51+$D$16*$E$51^2+$E$16*$E$51^3+$F$16*$E$51^4,"")</f>
        <v>0.000780098968723109</v>
      </c>
      <c r="H51" s="66" t="n">
        <f aca="false">IF(ISNUMBER('Stage 1 - Pt Sweep (18 Runs)'!E35),$B$17+$C$17*$E$51+$D$17*$E$51^2+$E$17*$E$51^3+$F$17*$E$51^4,"")</f>
        <v>0.0953855319472366</v>
      </c>
      <c r="I51" s="64" t="n">
        <f aca="false">IF(ISNUMBER('Stage 1 - Pt Sweep (18 Runs)'!E35),$B$18+$C$18*$E$51+$D$18*$E$51^2+$E$18*$E$51^3+$F$18*$E$51^4,"")</f>
        <v>1968.43443564</v>
      </c>
      <c r="J51" s="63" t="n">
        <f aca="false">IF(ISNUMBER('Stage 1 - Pt Sweep (18 Runs)'!E35),$G$51*$I$51/$H$51,"")</f>
        <v>16.098601558266</v>
      </c>
      <c r="K51" s="66" t="n">
        <f aca="false">IF(ISNUMBER('Stage 1 - Pt Sweep (18 Runs)'!E35),'Stage 1 - Pt Sweep (18 Runs)'!E35/($F$51*$C$11),"")</f>
        <v>0.409491252245547</v>
      </c>
      <c r="L51" s="65" t="n">
        <f aca="false">IF(ISNUMBER('Stage 1 - Pt Sweep (18 Runs)'!E35),2*'Stage 1 - Pt Sweep (18 Runs)'!O35/($F$51*$K$51^2),"")</f>
        <v>0.00856420349878586</v>
      </c>
      <c r="M51" s="64" t="n">
        <f aca="false">IF(ISNUMBER('Stage 1 - Pt Sweep (18 Runs)'!E35),('Stage 1 - Pt Sweep (18 Runs)'!P35/('Stage 1 - Pt Sweep (18 Runs)'!M35-$E$51))*$C$5/$H$51,"")</f>
        <v>312.271034506309</v>
      </c>
      <c r="N51" s="67"/>
      <c r="O51" s="67"/>
      <c r="P51" s="64" t="n">
        <f aca="false">IF(ISNUMBER($N$51),$N$51,IF(ISNUMBER($D$51),$C$36*(0.79*LN($D$51)-1.64)^-2/4,""))</f>
        <v>0.00605227953227261</v>
      </c>
      <c r="Q51" s="64" t="n">
        <f aca="false">IF(ISNUMBER($O$51),$O$51,IF(AND(ISNUMBER($D$51),ISNUMBER($J$51)),$C$37*((0.79*LN($D$51)-1.64)^-2/8)*($D$51-1000)*$J$51/(1+12.7*SQRT((0.79*LN($D$51)-1.64)^-2/8)*($J$51^(2/3)-1)),""))</f>
        <v>386.224214875541</v>
      </c>
      <c r="R51" s="64" t="n">
        <f aca="false">IF(AND(ISNUMBER($L$51),ISNUMBER($P$51)),$L$51/$P$51,"")</f>
        <v>1.41503766524975</v>
      </c>
      <c r="S51" s="64" t="n">
        <f aca="false">IF(AND(ISNUMBER($M$51),ISNUMBER($Q$51)),$M$51/$Q$51,"")</f>
        <v>0.808522672787196</v>
      </c>
      <c r="T51" s="64" t="n">
        <f aca="false">IF(AND(ISNUMBER($S$51),ISNUMBER($R$51),$R$51&gt;0),$S$51/$R$51^(1/3),"")</f>
        <v>0.72017195164085</v>
      </c>
    </row>
    <row r="52" customFormat="false" ht="15" hidden="false" customHeight="false" outlineLevel="0" collapsed="false">
      <c r="A52" s="62" t="n">
        <v>12</v>
      </c>
      <c r="B52" s="62" t="n">
        <v>300</v>
      </c>
      <c r="C52" s="63" t="n">
        <f aca="false">B52/1000/$C$5</f>
        <v>4.54545454545455</v>
      </c>
      <c r="D52" s="62" t="n">
        <f aca="false">'Stage 1 - Pt Sweep (18 Runs)'!C36</f>
        <v>30000</v>
      </c>
      <c r="E52" s="63" t="n">
        <f aca="false">IF(ISNUMBER('Stage 1 - Pt Sweep (18 Runs)'!E36),('Stage 1 - Pt Sweep (18 Runs)'!D36+'Stage 1 - Pt Sweep (18 Runs)'!K36)/2,"")</f>
        <v>503.23739</v>
      </c>
      <c r="F52" s="64" t="n">
        <f aca="false">IF(ISNUMBER('Stage 1 - Pt Sweep (18 Runs)'!E36),$B$15+$C$15*$E$52+$D$15*$E$52^2+$E$15*$E$52^3+$F$15*$E$52^4,"")</f>
        <v>743.171620763618</v>
      </c>
      <c r="G52" s="65" t="n">
        <f aca="false">IF(ISNUMBER('Stage 1 - Pt Sweep (18 Runs)'!E36),$B$16+$C$16*$E$52+$D$16*$E$52^2+$E$16*$E$52^3+$F$16*$E$52^4,"")</f>
        <v>0.000784332443039264</v>
      </c>
      <c r="H52" s="66" t="n">
        <f aca="false">IF(ISNUMBER('Stage 1 - Pt Sweep (18 Runs)'!E36),$B$17+$C$17*$E$52+$D$17*$E$52^2+$E$17*$E$52^3+$F$17*$E$52^4,"")</f>
        <v>0.0955072209972749</v>
      </c>
      <c r="I52" s="64" t="n">
        <f aca="false">IF(ISNUMBER('Stage 1 - Pt Sweep (18 Runs)'!E36),$B$18+$C$18*$E$52+$D$18*$E$52^2+$E$18*$E$52^3+$F$18*$E$52^4,"")</f>
        <v>1967.32946212</v>
      </c>
      <c r="J52" s="63" t="n">
        <f aca="false">IF(ISNUMBER('Stage 1 - Pt Sweep (18 Runs)'!E36),$G$52*$I$52/$H$52,"")</f>
        <v>16.1562686797444</v>
      </c>
      <c r="K52" s="66" t="n">
        <f aca="false">IF(ISNUMBER('Stage 1 - Pt Sweep (18 Runs)'!E36),'Stage 1 - Pt Sweep (18 Runs)'!E36/($F$52*$C$11),"")</f>
        <v>0.490950726275969</v>
      </c>
      <c r="L52" s="65" t="n">
        <f aca="false">IF(ISNUMBER('Stage 1 - Pt Sweep (18 Runs)'!E36),2*'Stage 1 - Pt Sweep (18 Runs)'!O36/($F$52*$K$52^2),"")</f>
        <v>0.00805298988044286</v>
      </c>
      <c r="M52" s="64" t="n">
        <f aca="false">IF(ISNUMBER('Stage 1 - Pt Sweep (18 Runs)'!E36),('Stage 1 - Pt Sweep (18 Runs)'!P36/('Stage 1 - Pt Sweep (18 Runs)'!M36-$E$52))*$C$5/$H$52,"")</f>
        <v>356.09256708251</v>
      </c>
      <c r="N52" s="67"/>
      <c r="O52" s="67"/>
      <c r="P52" s="64" t="n">
        <f aca="false">IF(ISNUMBER($N$52),$N$52,IF(ISNUMBER($D$52),$C$36*(0.79*LN($D$52)-1.64)^-2/4,""))</f>
        <v>0.00578718967344393</v>
      </c>
      <c r="Q52" s="64" t="n">
        <f aca="false">IF(ISNUMBER($O$52),$O$52,IF(AND(ISNUMBER($D$52),ISNUMBER($J$52)),$C$37*((0.79*LN($D$52)-1.64)^-2/8)*($D$52-1000)*$J$52/(1+12.7*SQRT((0.79*LN($D$52)-1.64)^-2/8)*($J$52^(2/3)-1)),""))</f>
        <v>454.820430554526</v>
      </c>
      <c r="R52" s="64" t="n">
        <f aca="false">IF(AND(ISNUMBER($L$52),ISNUMBER($P$52)),$L$52/$P$52,"")</f>
        <v>1.39151994920715</v>
      </c>
      <c r="S52" s="64" t="n">
        <f aca="false">IF(AND(ISNUMBER($M$52),ISNUMBER($Q$52)),$M$52/$Q$52,"")</f>
        <v>0.782930016244775</v>
      </c>
      <c r="T52" s="64" t="n">
        <f aca="false">IF(AND(ISNUMBER($S$52),ISNUMBER($R$52),$R$52&gt;0),$S$52/$R$52^(1/3),"")</f>
        <v>0.701282709430078</v>
      </c>
    </row>
    <row r="53" customFormat="false" ht="15" hidden="false" customHeight="false" outlineLevel="0" collapsed="false">
      <c r="A53" s="53" t="n">
        <v>13</v>
      </c>
      <c r="B53" s="53" t="n">
        <v>400</v>
      </c>
      <c r="C53" s="57" t="n">
        <f aca="false">B53/1000/$C$5</f>
        <v>6.06060606060606</v>
      </c>
      <c r="D53" s="53" t="n">
        <f aca="false">'Stage 1 - Pt Sweep (18 Runs)'!C37</f>
        <v>5000</v>
      </c>
      <c r="E53" s="57" t="n">
        <f aca="false">IF(ISNUMBER('Stage 1 - Pt Sweep (18 Runs)'!E37),('Stage 1 - Pt Sweep (18 Runs)'!D37+'Stage 1 - Pt Sweep (18 Runs)'!K37)/2,"")</f>
        <v>519.35302</v>
      </c>
      <c r="F53" s="58" t="n">
        <f aca="false">IF(ISNUMBER('Stage 1 - Pt Sweep (18 Runs)'!E37),$B$15+$C$15*$E$53+$D$15*$E$53^2+$E$15*$E$53^3+$F$15*$E$53^4,"")</f>
        <v>726.488665747328</v>
      </c>
      <c r="G53" s="59" t="n">
        <f aca="false">IF(ISNUMBER('Stage 1 - Pt Sweep (18 Runs)'!E37),$B$16+$C$16*$E$53+$D$16*$E$53^2+$E$16*$E$53^3+$F$16*$E$53^4,"")</f>
        <v>0.000687408828344942</v>
      </c>
      <c r="H53" s="60" t="n">
        <f aca="false">IF(ISNUMBER('Stage 1 - Pt Sweep (18 Runs)'!E37),$B$17+$C$17*$E$53+$D$17*$E$53^2+$E$17*$E$53^3+$F$17*$E$53^4,"")</f>
        <v>0.0924757366355845</v>
      </c>
      <c r="I53" s="58" t="n">
        <f aca="false">IF(ISNUMBER('Stage 1 - Pt Sweep (18 Runs)'!E37),$B$18+$C$18*$E$53+$D$18*$E$53^2+$E$18*$E$53^3+$F$18*$E$53^4,"")</f>
        <v>1994.85495816</v>
      </c>
      <c r="J53" s="57" t="n">
        <f aca="false">IF(ISNUMBER('Stage 1 - Pt Sweep (18 Runs)'!E37),$G$53*$I$53/$H$53,"")</f>
        <v>14.8285481078201</v>
      </c>
      <c r="K53" s="60" t="n">
        <f aca="false">IF(ISNUMBER('Stage 1 - Pt Sweep (18 Runs)'!E37),'Stage 1 - Pt Sweep (18 Runs)'!E37/($F$53*$C$11),"")</f>
        <v>0.0837041370449661</v>
      </c>
      <c r="L53" s="59" t="n">
        <f aca="false">IF(ISNUMBER('Stage 1 - Pt Sweep (18 Runs)'!E37),2*'Stage 1 - Pt Sweep (18 Runs)'!O37/($F$53*$K$53^2),"")</f>
        <v>0.0141626914361821</v>
      </c>
      <c r="M53" s="58" t="n">
        <f aca="false">IF(ISNUMBER('Stage 1 - Pt Sweep (18 Runs)'!E37),('Stage 1 - Pt Sweep (18 Runs)'!P37/('Stage 1 - Pt Sweep (18 Runs)'!M37-$E$53))*$C$5/$H$53,"")</f>
        <v>104.423278952187</v>
      </c>
      <c r="N53" s="61"/>
      <c r="O53" s="61"/>
      <c r="P53" s="58" t="n">
        <f aca="false">IF(ISNUMBER($N$53),$N$53,IF(ISNUMBER($D$53),$C$36*(0.79*LN($D$53)-1.64)^-2/4,""))</f>
        <v>0.00945463607140966</v>
      </c>
      <c r="Q53" s="58" t="n">
        <f aca="false">IF(ISNUMBER($O$53),$O$53,IF(AND(ISNUMBER($D$53),ISNUMBER($J$53)),$C$37*((0.79*LN($D$53)-1.64)^-2/8)*($D$53-1000)*$J$53/(1+12.7*SQRT((0.79*LN($D$53)-1.64)^-2/8)*($J$53^(2/3)-1)),""))</f>
        <v>81.5921510206017</v>
      </c>
      <c r="R53" s="58" t="n">
        <f aca="false">IF(AND(ISNUMBER($L$53),ISNUMBER($P$53)),$L$53/$P$53,"")</f>
        <v>1.49796262164013</v>
      </c>
      <c r="S53" s="58" t="n">
        <f aca="false">IF(AND(ISNUMBER($M$53),ISNUMBER($Q$53)),$M$53/$Q$53,"")</f>
        <v>1.27982014992864</v>
      </c>
      <c r="T53" s="58" t="n">
        <f aca="false">IF(AND(ISNUMBER($S$53),ISNUMBER($R$53),$R$53&gt;0),$S$53/$R$53^(1/3),"")</f>
        <v>1.11853252724398</v>
      </c>
    </row>
    <row r="54" customFormat="false" ht="15" hidden="false" customHeight="false" outlineLevel="0" collapsed="false">
      <c r="A54" s="53" t="n">
        <v>14</v>
      </c>
      <c r="B54" s="53" t="n">
        <v>400</v>
      </c>
      <c r="C54" s="57" t="n">
        <f aca="false">B54/1000/$C$5</f>
        <v>6.06060606060606</v>
      </c>
      <c r="D54" s="53" t="n">
        <f aca="false">'Stage 1 - Pt Sweep (18 Runs)'!C38</f>
        <v>10000</v>
      </c>
      <c r="E54" s="57" t="n">
        <f aca="false">IF(ISNUMBER('Stage 1 - Pt Sweep (18 Runs)'!E38),('Stage 1 - Pt Sweep (18 Runs)'!D38+'Stage 1 - Pt Sweep (18 Runs)'!K38)/2,"")</f>
        <v>509.697355</v>
      </c>
      <c r="F54" s="58" t="n">
        <f aca="false">IF(ISNUMBER('Stage 1 - Pt Sweep (18 Runs)'!E38),$B$15+$C$15*$E$54+$D$15*$E$54^2+$E$15*$E$54^3+$F$15*$E$54^4,"")</f>
        <v>736.522052399197</v>
      </c>
      <c r="G54" s="59" t="n">
        <f aca="false">IF(ISNUMBER('Stage 1 - Pt Sweep (18 Runs)'!E38),$B$16+$C$16*$E$54+$D$16*$E$54^2+$E$16*$E$54^3+$F$16*$E$54^4,"")</f>
        <v>0.000743420284693125</v>
      </c>
      <c r="H54" s="60" t="n">
        <f aca="false">IF(ISNUMBER('Stage 1 - Pt Sweep (18 Runs)'!E38),$B$17+$C$17*$E$54+$D$17*$E$54^2+$E$17*$E$54^3+$F$17*$E$54^4,"")</f>
        <v>0.0942920836099521</v>
      </c>
      <c r="I54" s="58" t="n">
        <f aca="false">IF(ISNUMBER('Stage 1 - Pt Sweep (18 Runs)'!E38),$B$18+$C$18*$E$54+$D$18*$E$54^2+$E$18*$E$54^3+$F$18*$E$54^4,"")</f>
        <v>1978.36308234</v>
      </c>
      <c r="J54" s="57" t="n">
        <f aca="false">IF(ISNUMBER('Stage 1 - Pt Sweep (18 Runs)'!E38),$G$54*$I$54/$H$54,"")</f>
        <v>15.5978655852329</v>
      </c>
      <c r="K54" s="60" t="n">
        <f aca="false">IF(ISNUMBER('Stage 1 - Pt Sweep (18 Runs)'!E38),'Stage 1 - Pt Sweep (18 Runs)'!E38/($F$54*$C$11),"")</f>
        <v>0.165127732761416</v>
      </c>
      <c r="L54" s="59" t="n">
        <f aca="false">IF(ISNUMBER('Stage 1 - Pt Sweep (18 Runs)'!E38),2*'Stage 1 - Pt Sweep (18 Runs)'!O38/($F$54*$K$54^2),"")</f>
        <v>0.0112045177267603</v>
      </c>
      <c r="M54" s="58" t="n">
        <f aca="false">IF(ISNUMBER('Stage 1 - Pt Sweep (18 Runs)'!E38),('Stage 1 - Pt Sweep (18 Runs)'!P38/('Stage 1 - Pt Sweep (18 Runs)'!M38-$E$54))*$C$5/$H$54,"")</f>
        <v>158.392498520234</v>
      </c>
      <c r="N54" s="61"/>
      <c r="O54" s="61"/>
      <c r="P54" s="58" t="n">
        <f aca="false">IF(ISNUMBER($N$54),$N$54,IF(ISNUMBER($D$54),$C$36*(0.79*LN($D$54)-1.64)^-2/4,""))</f>
        <v>0.00770673595958132</v>
      </c>
      <c r="Q54" s="58" t="n">
        <f aca="false">IF(ISNUMBER($O$54),$O$54,IF(AND(ISNUMBER($D$54),ISNUMBER($J$54)),$C$37*((0.79*LN($D$54)-1.64)^-2/8)*($D$54-1000)*$J$54/(1+12.7*SQRT((0.79*LN($D$54)-1.64)^-2/8)*($J$54^(2/3)-1)),""))</f>
        <v>165.519404686082</v>
      </c>
      <c r="R54" s="58" t="n">
        <f aca="false">IF(AND(ISNUMBER($L$54),ISNUMBER($P$54)),$L$54/$P$54,"")</f>
        <v>1.45386033536421</v>
      </c>
      <c r="S54" s="58" t="n">
        <f aca="false">IF(AND(ISNUMBER($M$54),ISNUMBER($Q$54)),$M$54/$Q$54,"")</f>
        <v>0.956942171346224</v>
      </c>
      <c r="T54" s="58" t="n">
        <f aca="false">IF(AND(ISNUMBER($S$54),ISNUMBER($R$54),$R$54&gt;0),$S$54/$R$54^(1/3),"")</f>
        <v>0.844717447344659</v>
      </c>
    </row>
    <row r="55" customFormat="false" ht="15" hidden="false" customHeight="false" outlineLevel="0" collapsed="false">
      <c r="A55" s="53" t="n">
        <v>15</v>
      </c>
      <c r="B55" s="53" t="n">
        <v>400</v>
      </c>
      <c r="C55" s="57" t="n">
        <f aca="false">B55/1000/$C$5</f>
        <v>6.06060606060606</v>
      </c>
      <c r="D55" s="53" t="n">
        <f aca="false">'Stage 1 - Pt Sweep (18 Runs)'!C39</f>
        <v>15000</v>
      </c>
      <c r="E55" s="57" t="str">
        <f aca="false">IF(ISNUMBER('Stage 1 - Pt Sweep (18 Runs)'!E39),('Stage 1 - Pt Sweep (18 Runs)'!D39+'Stage 1 - Pt Sweep (18 Runs)'!K39)/2,"")</f>
        <v/>
      </c>
      <c r="F55" s="58" t="str">
        <f aca="false">IF(ISNUMBER('Stage 1 - Pt Sweep (18 Runs)'!E39),$B$15+$C$15*$E$55+$D$15*$E$55^2+$E$15*$E$55^3+$F$15*$E$55^4,"")</f>
        <v/>
      </c>
      <c r="G55" s="59" t="str">
        <f aca="false">IF(ISNUMBER('Stage 1 - Pt Sweep (18 Runs)'!E39),$B$16+$C$16*$E$55+$D$16*$E$55^2+$E$16*$E$55^3+$F$16*$E$55^4,"")</f>
        <v/>
      </c>
      <c r="H55" s="60" t="str">
        <f aca="false">IF(ISNUMBER('Stage 1 - Pt Sweep (18 Runs)'!E39),$B$17+$C$17*$E$55+$D$17*$E$55^2+$E$17*$E$55^3+$F$17*$E$55^4,"")</f>
        <v/>
      </c>
      <c r="I55" s="58" t="str">
        <f aca="false">IF(ISNUMBER('Stage 1 - Pt Sweep (18 Runs)'!E39),$B$18+$C$18*$E$55+$D$18*$E$55^2+$E$18*$E$55^3+$F$18*$E$55^4,"")</f>
        <v/>
      </c>
      <c r="J55" s="57" t="str">
        <f aca="false">IF(ISNUMBER('Stage 1 - Pt Sweep (18 Runs)'!E39),$G$55*$I$55/$H$55,"")</f>
        <v/>
      </c>
      <c r="K55" s="60" t="str">
        <f aca="false">IF(ISNUMBER('Stage 1 - Pt Sweep (18 Runs)'!E39),'Stage 1 - Pt Sweep (18 Runs)'!E39/($F$55*$C$11),"")</f>
        <v/>
      </c>
      <c r="L55" s="59" t="str">
        <f aca="false">IF(ISNUMBER('Stage 1 - Pt Sweep (18 Runs)'!E39),2*'Stage 1 - Pt Sweep (18 Runs)'!O39/($F$55*$K$55^2),"")</f>
        <v/>
      </c>
      <c r="M55" s="58" t="str">
        <f aca="false">IF(ISNUMBER('Stage 1 - Pt Sweep (18 Runs)'!E39),('Stage 1 - Pt Sweep (18 Runs)'!P39/('Stage 1 - Pt Sweep (18 Runs)'!M39-$E$55))*$C$5/$H$55,"")</f>
        <v/>
      </c>
      <c r="N55" s="61"/>
      <c r="O55" s="61"/>
      <c r="P55" s="58" t="n">
        <f aca="false">IF(ISNUMBER($N$55),$N$55,IF(ISNUMBER($D$55),$C$36*(0.79*LN($D$55)-1.64)^-2/4,""))</f>
        <v>0.00690014438807923</v>
      </c>
      <c r="Q55" s="58" t="str">
        <f aca="false">IF(ISNUMBER($O$55),$O$55,IF(AND(ISNUMBER($D$55),ISNUMBER($J$55)),$C$37*((0.79*LN($D$55)-1.64)^-2/8)*($D$55-1000)*$J$55/(1+12.7*SQRT((0.79*LN($D$55)-1.64)^-2/8)*($J$55^(2/3)-1)),""))</f>
        <v/>
      </c>
      <c r="R55" s="58" t="str">
        <f aca="false">IF(AND(ISNUMBER($L$55),ISNUMBER($P$55)),$L$55/$P$55,"")</f>
        <v/>
      </c>
      <c r="S55" s="58" t="str">
        <f aca="false">IF(AND(ISNUMBER($M$55),ISNUMBER($Q$55)),$M$55/$Q$55,"")</f>
        <v/>
      </c>
      <c r="T55" s="58" t="str">
        <f aca="false">IF(AND(ISNUMBER($S$55),ISNUMBER($R$55),$R$55&gt;0),$S$55/$R$55^(1/3),"")</f>
        <v/>
      </c>
    </row>
    <row r="56" customFormat="false" ht="15" hidden="false" customHeight="false" outlineLevel="0" collapsed="false">
      <c r="A56" s="53" t="n">
        <v>16</v>
      </c>
      <c r="B56" s="53" t="n">
        <v>400</v>
      </c>
      <c r="C56" s="57" t="n">
        <f aca="false">B56/1000/$C$5</f>
        <v>6.06060606060606</v>
      </c>
      <c r="D56" s="53" t="n">
        <f aca="false">'Stage 1 - Pt Sweep (18 Runs)'!C40</f>
        <v>20000</v>
      </c>
      <c r="E56" s="57" t="str">
        <f aca="false">IF(ISNUMBER('Stage 1 - Pt Sweep (18 Runs)'!E40),('Stage 1 - Pt Sweep (18 Runs)'!D40+'Stage 1 - Pt Sweep (18 Runs)'!K40)/2,"")</f>
        <v/>
      </c>
      <c r="F56" s="58" t="str">
        <f aca="false">IF(ISNUMBER('Stage 1 - Pt Sweep (18 Runs)'!E40),$B$15+$C$15*$E$56+$D$15*$E$56^2+$E$15*$E$56^3+$F$15*$E$56^4,"")</f>
        <v/>
      </c>
      <c r="G56" s="59" t="str">
        <f aca="false">IF(ISNUMBER('Stage 1 - Pt Sweep (18 Runs)'!E40),$B$16+$C$16*$E$56+$D$16*$E$56^2+$E$16*$E$56^3+$F$16*$E$56^4,"")</f>
        <v/>
      </c>
      <c r="H56" s="60" t="str">
        <f aca="false">IF(ISNUMBER('Stage 1 - Pt Sweep (18 Runs)'!E40),$B$17+$C$17*$E$56+$D$17*$E$56^2+$E$17*$E$56^3+$F$17*$E$56^4,"")</f>
        <v/>
      </c>
      <c r="I56" s="58" t="str">
        <f aca="false">IF(ISNUMBER('Stage 1 - Pt Sweep (18 Runs)'!E40),$B$18+$C$18*$E$56+$D$18*$E$56^2+$E$18*$E$56^3+$F$18*$E$56^4,"")</f>
        <v/>
      </c>
      <c r="J56" s="57" t="str">
        <f aca="false">IF(ISNUMBER('Stage 1 - Pt Sweep (18 Runs)'!E40),$G$56*$I$56/$H$56,"")</f>
        <v/>
      </c>
      <c r="K56" s="60" t="str">
        <f aca="false">IF(ISNUMBER('Stage 1 - Pt Sweep (18 Runs)'!E40),'Stage 1 - Pt Sweep (18 Runs)'!E40/($F$56*$C$11),"")</f>
        <v/>
      </c>
      <c r="L56" s="59" t="str">
        <f aca="false">IF(ISNUMBER('Stage 1 - Pt Sweep (18 Runs)'!E40),2*'Stage 1 - Pt Sweep (18 Runs)'!O40/($F$56*$K$56^2),"")</f>
        <v/>
      </c>
      <c r="M56" s="58" t="str">
        <f aca="false">IF(ISNUMBER('Stage 1 - Pt Sweep (18 Runs)'!E40),('Stage 1 - Pt Sweep (18 Runs)'!P40/('Stage 1 - Pt Sweep (18 Runs)'!M40-$E$56))*$C$5/$H$56,"")</f>
        <v/>
      </c>
      <c r="N56" s="61"/>
      <c r="O56" s="61"/>
      <c r="P56" s="58" t="n">
        <f aca="false">IF(ISNUMBER($N$56),$N$56,IF(ISNUMBER($D$56),$C$36*(0.79*LN($D$56)-1.64)^-2/4,""))</f>
        <v>0.00640226881187153</v>
      </c>
      <c r="Q56" s="58" t="str">
        <f aca="false">IF(ISNUMBER($O$56),$O$56,IF(AND(ISNUMBER($D$56),ISNUMBER($J$56)),$C$37*((0.79*LN($D$56)-1.64)^-2/8)*($D$56-1000)*$J$56/(1+12.7*SQRT((0.79*LN($D$56)-1.64)^-2/8)*($J$56^(2/3)-1)),""))</f>
        <v/>
      </c>
      <c r="R56" s="58" t="str">
        <f aca="false">IF(AND(ISNUMBER($L$56),ISNUMBER($P$56)),$L$56/$P$56,"")</f>
        <v/>
      </c>
      <c r="S56" s="58" t="str">
        <f aca="false">IF(AND(ISNUMBER($M$56),ISNUMBER($Q$56)),$M$56/$Q$56,"")</f>
        <v/>
      </c>
      <c r="T56" s="58" t="str">
        <f aca="false">IF(AND(ISNUMBER($S$56),ISNUMBER($R$56),$R$56&gt;0),$S$56/$R$56^(1/3),"")</f>
        <v/>
      </c>
    </row>
    <row r="57" customFormat="false" ht="15" hidden="false" customHeight="false" outlineLevel="0" collapsed="false">
      <c r="A57" s="53" t="n">
        <v>17</v>
      </c>
      <c r="B57" s="53" t="n">
        <v>400</v>
      </c>
      <c r="C57" s="57" t="n">
        <f aca="false">B57/1000/$C$5</f>
        <v>6.06060606060606</v>
      </c>
      <c r="D57" s="53" t="n">
        <f aca="false">'Stage 1 - Pt Sweep (18 Runs)'!C41</f>
        <v>25000</v>
      </c>
      <c r="E57" s="57" t="str">
        <f aca="false">IF(ISNUMBER('Stage 1 - Pt Sweep (18 Runs)'!E41),('Stage 1 - Pt Sweep (18 Runs)'!D41+'Stage 1 - Pt Sweep (18 Runs)'!K41)/2,"")</f>
        <v/>
      </c>
      <c r="F57" s="58" t="str">
        <f aca="false">IF(ISNUMBER('Stage 1 - Pt Sweep (18 Runs)'!E41),$B$15+$C$15*$E$57+$D$15*$E$57^2+$E$15*$E$57^3+$F$15*$E$57^4,"")</f>
        <v/>
      </c>
      <c r="G57" s="59" t="str">
        <f aca="false">IF(ISNUMBER('Stage 1 - Pt Sweep (18 Runs)'!E41),$B$16+$C$16*$E$57+$D$16*$E$57^2+$E$16*$E$57^3+$F$16*$E$57^4,"")</f>
        <v/>
      </c>
      <c r="H57" s="60" t="str">
        <f aca="false">IF(ISNUMBER('Stage 1 - Pt Sweep (18 Runs)'!E41),$B$17+$C$17*$E$57+$D$17*$E$57^2+$E$17*$E$57^3+$F$17*$E$57^4,"")</f>
        <v/>
      </c>
      <c r="I57" s="58" t="str">
        <f aca="false">IF(ISNUMBER('Stage 1 - Pt Sweep (18 Runs)'!E41),$B$18+$C$18*$E$57+$D$18*$E$57^2+$E$18*$E$57^3+$F$18*$E$57^4,"")</f>
        <v/>
      </c>
      <c r="J57" s="57" t="str">
        <f aca="false">IF(ISNUMBER('Stage 1 - Pt Sweep (18 Runs)'!E41),$G$57*$I$57/$H$57,"")</f>
        <v/>
      </c>
      <c r="K57" s="60" t="str">
        <f aca="false">IF(ISNUMBER('Stage 1 - Pt Sweep (18 Runs)'!E41),'Stage 1 - Pt Sweep (18 Runs)'!E41/($F$57*$C$11),"")</f>
        <v/>
      </c>
      <c r="L57" s="59" t="str">
        <f aca="false">IF(ISNUMBER('Stage 1 - Pt Sweep (18 Runs)'!E41),2*'Stage 1 - Pt Sweep (18 Runs)'!O41/($F$57*$K$57^2),"")</f>
        <v/>
      </c>
      <c r="M57" s="58" t="str">
        <f aca="false">IF(ISNUMBER('Stage 1 - Pt Sweep (18 Runs)'!E41),('Stage 1 - Pt Sweep (18 Runs)'!P41/('Stage 1 - Pt Sweep (18 Runs)'!M41-$E$57))*$C$5/$H$57,"")</f>
        <v/>
      </c>
      <c r="N57" s="61"/>
      <c r="O57" s="61"/>
      <c r="P57" s="58" t="n">
        <f aca="false">IF(ISNUMBER($N$57),$N$57,IF(ISNUMBER($D$57),$C$36*(0.79*LN($D$57)-1.64)^-2/4,""))</f>
        <v>0.00605227953227261</v>
      </c>
      <c r="Q57" s="58" t="str">
        <f aca="false">IF(ISNUMBER($O$57),$O$57,IF(AND(ISNUMBER($D$57),ISNUMBER($J$57)),$C$37*((0.79*LN($D$57)-1.64)^-2/8)*($D$57-1000)*$J$57/(1+12.7*SQRT((0.79*LN($D$57)-1.64)^-2/8)*($J$57^(2/3)-1)),""))</f>
        <v/>
      </c>
      <c r="R57" s="58" t="str">
        <f aca="false">IF(AND(ISNUMBER($L$57),ISNUMBER($P$57)),$L$57/$P$57,"")</f>
        <v/>
      </c>
      <c r="S57" s="58" t="str">
        <f aca="false">IF(AND(ISNUMBER($M$57),ISNUMBER($Q$57)),$M$57/$Q$57,"")</f>
        <v/>
      </c>
      <c r="T57" s="58" t="str">
        <f aca="false">IF(AND(ISNUMBER($S$57),ISNUMBER($R$57),$R$57&gt;0),$S$57/$R$57^(1/3),"")</f>
        <v/>
      </c>
    </row>
    <row r="58" customFormat="false" ht="15" hidden="false" customHeight="false" outlineLevel="0" collapsed="false">
      <c r="A58" s="53" t="n">
        <v>18</v>
      </c>
      <c r="B58" s="53" t="n">
        <v>400</v>
      </c>
      <c r="C58" s="57" t="n">
        <f aca="false">B58/1000/$C$5</f>
        <v>6.06060606060606</v>
      </c>
      <c r="D58" s="53" t="n">
        <f aca="false">'Stage 1 - Pt Sweep (18 Runs)'!C42</f>
        <v>30000</v>
      </c>
      <c r="E58" s="57" t="str">
        <f aca="false">IF(ISNUMBER('Stage 1 - Pt Sweep (18 Runs)'!E42),('Stage 1 - Pt Sweep (18 Runs)'!D42+'Stage 1 - Pt Sweep (18 Runs)'!K42)/2,"")</f>
        <v/>
      </c>
      <c r="F58" s="58" t="str">
        <f aca="false">IF(ISNUMBER('Stage 1 - Pt Sweep (18 Runs)'!E42),$B$15+$C$15*$E$58+$D$15*$E$58^2+$E$15*$E$58^3+$F$15*$E$58^4,"")</f>
        <v/>
      </c>
      <c r="G58" s="59" t="str">
        <f aca="false">IF(ISNUMBER('Stage 1 - Pt Sweep (18 Runs)'!E42),$B$16+$C$16*$E$58+$D$16*$E$58^2+$E$16*$E$58^3+$F$16*$E$58^4,"")</f>
        <v/>
      </c>
      <c r="H58" s="60" t="str">
        <f aca="false">IF(ISNUMBER('Stage 1 - Pt Sweep (18 Runs)'!E42),$B$17+$C$17*$E$58+$D$17*$E$58^2+$E$17*$E$58^3+$F$17*$E$58^4,"")</f>
        <v/>
      </c>
      <c r="I58" s="58" t="str">
        <f aca="false">IF(ISNUMBER('Stage 1 - Pt Sweep (18 Runs)'!E42),$B$18+$C$18*$E$58+$D$18*$E$58^2+$E$18*$E$58^3+$F$18*$E$58^4,"")</f>
        <v/>
      </c>
      <c r="J58" s="57" t="str">
        <f aca="false">IF(ISNUMBER('Stage 1 - Pt Sweep (18 Runs)'!E42),$G$58*$I$58/$H$58,"")</f>
        <v/>
      </c>
      <c r="K58" s="60" t="str">
        <f aca="false">IF(ISNUMBER('Stage 1 - Pt Sweep (18 Runs)'!E42),'Stage 1 - Pt Sweep (18 Runs)'!E42/($F$58*$C$11),"")</f>
        <v/>
      </c>
      <c r="L58" s="59" t="str">
        <f aca="false">IF(ISNUMBER('Stage 1 - Pt Sweep (18 Runs)'!E42),2*'Stage 1 - Pt Sweep (18 Runs)'!O42/($F$58*$K$58^2),"")</f>
        <v/>
      </c>
      <c r="M58" s="58" t="str">
        <f aca="false">IF(ISNUMBER('Stage 1 - Pt Sweep (18 Runs)'!E42),('Stage 1 - Pt Sweep (18 Runs)'!P42/('Stage 1 - Pt Sweep (18 Runs)'!M42-$E$58))*$C$5/$H$58,"")</f>
        <v/>
      </c>
      <c r="N58" s="61"/>
      <c r="O58" s="61"/>
      <c r="P58" s="58" t="n">
        <f aca="false">IF(ISNUMBER($N$58),$N$58,IF(ISNUMBER($D$58),$C$36*(0.79*LN($D$58)-1.64)^-2/4,""))</f>
        <v>0.00578718967344393</v>
      </c>
      <c r="Q58" s="58" t="str">
        <f aca="false">IF(ISNUMBER($O$58),$O$58,IF(AND(ISNUMBER($D$58),ISNUMBER($J$58)),$C$37*((0.79*LN($D$58)-1.64)^-2/8)*($D$58-1000)*$J$58/(1+12.7*SQRT((0.79*LN($D$58)-1.64)^-2/8)*($J$58^(2/3)-1)),""))</f>
        <v/>
      </c>
      <c r="R58" s="58" t="str">
        <f aca="false">IF(AND(ISNUMBER($L$58),ISNUMBER($P$58)),$L$58/$P$58,"")</f>
        <v/>
      </c>
      <c r="S58" s="58" t="str">
        <f aca="false">IF(AND(ISNUMBER($M$58),ISNUMBER($Q$58)),$M$58/$Q$58,"")</f>
        <v/>
      </c>
      <c r="T58" s="58" t="str">
        <f aca="false">IF(AND(ISNUMBER($S$58),ISNUMBER($R$58),$R$58&gt;0),$S$58/$R$58^(1/3),"")</f>
        <v/>
      </c>
    </row>
    <row r="60" customFormat="false" ht="15" hidden="false" customHeight="false" outlineLevel="0" collapsed="false">
      <c r="A60" s="48" t="s">
        <v>188</v>
      </c>
    </row>
    <row r="62" customFormat="false" ht="15" hidden="false" customHeight="false" outlineLevel="0" collapsed="false">
      <c r="A62" s="49" t="s">
        <v>189</v>
      </c>
    </row>
    <row r="63" customFormat="false" ht="15" hidden="false" customHeight="false" outlineLevel="0" collapsed="false">
      <c r="A63" s="51" t="s">
        <v>104</v>
      </c>
      <c r="B63" s="51" t="s">
        <v>190</v>
      </c>
      <c r="C63" s="51" t="s">
        <v>191</v>
      </c>
      <c r="D63" s="51" t="s">
        <v>192</v>
      </c>
      <c r="E63" s="51" t="s">
        <v>193</v>
      </c>
      <c r="F63" s="51" t="s">
        <v>194</v>
      </c>
      <c r="G63" s="51" t="s">
        <v>195</v>
      </c>
      <c r="H63" s="51" t="s">
        <v>196</v>
      </c>
      <c r="I63" s="51" t="s">
        <v>197</v>
      </c>
      <c r="J63" s="51" t="s">
        <v>198</v>
      </c>
    </row>
    <row r="64" customFormat="false" ht="15" hidden="false" customHeight="false" outlineLevel="0" collapsed="false">
      <c r="A64" s="53" t="n">
        <v>5000</v>
      </c>
      <c r="B64" s="58" t="n">
        <f aca="false">IF(ISNUMBER(R41),R41,NA())</f>
        <v>1.52064473407491</v>
      </c>
      <c r="C64" s="58" t="n">
        <f aca="false">IF(ISNUMBER(R47),R47,NA())</f>
        <v>1.50467737256626</v>
      </c>
      <c r="D64" s="58" t="n">
        <f aca="false">IF(ISNUMBER(R53),R53,NA())</f>
        <v>1.49796262164013</v>
      </c>
      <c r="E64" s="58" t="n">
        <f aca="false">IF(ISNUMBER(S41),S41,NA())</f>
        <v>1.28599617834485</v>
      </c>
      <c r="F64" s="58" t="n">
        <f aca="false">IF(ISNUMBER(S47),S47,NA())</f>
        <v>1.28172708846693</v>
      </c>
      <c r="G64" s="58" t="n">
        <f aca="false">IF(ISNUMBER(S53),S53,NA())</f>
        <v>1.27982014992864</v>
      </c>
      <c r="H64" s="58" t="n">
        <f aca="false">IF(ISNUMBER(T41),T41,NA())</f>
        <v>1.11831398815052</v>
      </c>
      <c r="I64" s="58" t="n">
        <f aca="false">IF(ISNUMBER(T47),T47,NA())</f>
        <v>1.11853033349743</v>
      </c>
      <c r="J64" s="58" t="n">
        <f aca="false">IF(ISNUMBER(T53),T53,NA())</f>
        <v>1.11853252724398</v>
      </c>
    </row>
    <row r="65" customFormat="false" ht="15" hidden="false" customHeight="false" outlineLevel="0" collapsed="false">
      <c r="A65" s="53" t="n">
        <v>10000</v>
      </c>
      <c r="B65" s="58" t="n">
        <f aca="false">IF(ISNUMBER(R42),R42,NA())</f>
        <v>1.48174911341943</v>
      </c>
      <c r="C65" s="58" t="n">
        <f aca="false">IF(ISNUMBER(R48),R48,NA())</f>
        <v>1.4602831958908</v>
      </c>
      <c r="D65" s="58" t="n">
        <f aca="false">IF(ISNUMBER(R54),R54,NA())</f>
        <v>1.45386033536421</v>
      </c>
      <c r="E65" s="58" t="n">
        <f aca="false">IF(ISNUMBER(S42),S42,NA())</f>
        <v>0.963609976728339</v>
      </c>
      <c r="F65" s="58" t="n">
        <f aca="false">IF(ISNUMBER(S48),S48,NA())</f>
        <v>0.958762903438254</v>
      </c>
      <c r="G65" s="58" t="n">
        <f aca="false">IF(ISNUMBER(S54),S54,NA())</f>
        <v>0.956942171346224</v>
      </c>
      <c r="H65" s="58" t="n">
        <f aca="false">IF(ISNUMBER(T42),T42,NA())</f>
        <v>0.845232904919284</v>
      </c>
      <c r="I65" s="58" t="n">
        <f aca="false">IF(ISNUMBER(T48),T48,NA())</f>
        <v>0.845082015404135</v>
      </c>
      <c r="J65" s="58" t="n">
        <f aca="false">IF(ISNUMBER(T54),T54,NA())</f>
        <v>0.844717447344659</v>
      </c>
    </row>
    <row r="66" customFormat="false" ht="15" hidden="false" customHeight="false" outlineLevel="0" collapsed="false">
      <c r="A66" s="53" t="n">
        <v>15000</v>
      </c>
      <c r="B66" s="58" t="n">
        <f aca="false">IF(ISNUMBER(R43),R43,NA())</f>
        <v>1.47221874761151</v>
      </c>
      <c r="C66" s="58" t="n">
        <f aca="false">IF(ISNUMBER(R49),R49,NA())</f>
        <v>1.44860037330678</v>
      </c>
      <c r="D66" s="58" t="e">
        <f aca="false">IF(ISNUMBER(R55),R55,NA())</f>
        <v>#N/A</v>
      </c>
      <c r="E66" s="58" t="n">
        <f aca="false">IF(ISNUMBER(S43),S43,NA())</f>
        <v>0.886845887761831</v>
      </c>
      <c r="F66" s="58" t="n">
        <f aca="false">IF(ISNUMBER(S49),S49,NA())</f>
        <v>0.880792582079435</v>
      </c>
      <c r="G66" s="58" t="e">
        <f aca="false">IF(ISNUMBER(S55),S55,NA())</f>
        <v>#N/A</v>
      </c>
      <c r="H66" s="58" t="n">
        <f aca="false">IF(ISNUMBER(T43),T43,NA())</f>
        <v>0.779574052051454</v>
      </c>
      <c r="I66" s="58" t="n">
        <f aca="false">IF(ISNUMBER(T49),T49,NA())</f>
        <v>0.778438160081983</v>
      </c>
      <c r="J66" s="58" t="e">
        <f aca="false">IF(ISNUMBER(T55),T55,NA())</f>
        <v>#N/A</v>
      </c>
    </row>
    <row r="67" customFormat="false" ht="15" hidden="false" customHeight="false" outlineLevel="0" collapsed="false">
      <c r="A67" s="53" t="n">
        <v>20000</v>
      </c>
      <c r="B67" s="58" t="n">
        <f aca="false">IF(ISNUMBER(R44),R44,NA())</f>
        <v>1.68278010614592</v>
      </c>
      <c r="C67" s="58" t="n">
        <f aca="false">IF(ISNUMBER(R50),R50,NA())</f>
        <v>1.4343503350336</v>
      </c>
      <c r="D67" s="58" t="e">
        <f aca="false">IF(ISNUMBER(R56),R56,NA())</f>
        <v>#N/A</v>
      </c>
      <c r="E67" s="58" t="n">
        <f aca="false">IF(ISNUMBER(S44),S44,NA())</f>
        <v>0.870787968956342</v>
      </c>
      <c r="F67" s="58" t="n">
        <f aca="false">IF(ISNUMBER(S50),S50,NA())</f>
        <v>0.840041389161567</v>
      </c>
      <c r="G67" s="58" t="e">
        <f aca="false">IF(ISNUMBER(S56),S56,NA())</f>
        <v>#N/A</v>
      </c>
      <c r="H67" s="58" t="n">
        <f aca="false">IF(ISNUMBER(T44),T44,NA())</f>
        <v>0.732099252966828</v>
      </c>
      <c r="I67" s="58" t="n">
        <f aca="false">IF(ISNUMBER(T50),T50,NA())</f>
        <v>0.744873066953454</v>
      </c>
      <c r="J67" s="58" t="e">
        <f aca="false">IF(ISNUMBER(T56),T56,NA())</f>
        <v>#N/A</v>
      </c>
    </row>
    <row r="68" customFormat="false" ht="15" hidden="false" customHeight="false" outlineLevel="0" collapsed="false">
      <c r="A68" s="53" t="n">
        <v>25000</v>
      </c>
      <c r="B68" s="58" t="n">
        <f aca="false">IF(ISNUMBER(R45),R45,NA())</f>
        <v>1.44008119137427</v>
      </c>
      <c r="C68" s="58" t="n">
        <f aca="false">IF(ISNUMBER(R51),R51,NA())</f>
        <v>1.41503766524975</v>
      </c>
      <c r="D68" s="58" t="e">
        <f aca="false">IF(ISNUMBER(R57),R57,NA())</f>
        <v>#N/A</v>
      </c>
      <c r="E68" s="58" t="n">
        <f aca="false">IF(ISNUMBER(S45),S45,NA())</f>
        <v>0.814767887425147</v>
      </c>
      <c r="F68" s="58" t="n">
        <f aca="false">IF(ISNUMBER(S51),S51,NA())</f>
        <v>0.808522672787196</v>
      </c>
      <c r="G68" s="58" t="e">
        <f aca="false">IF(ISNUMBER(S57),S57,NA())</f>
        <v>#N/A</v>
      </c>
      <c r="H68" s="58" t="n">
        <f aca="false">IF(ISNUMBER(T45),T45,NA())</f>
        <v>0.721503171330703</v>
      </c>
      <c r="I68" s="58" t="n">
        <f aca="false">IF(ISNUMBER(T51),T51,NA())</f>
        <v>0.72017195164085</v>
      </c>
      <c r="J68" s="58" t="e">
        <f aca="false">IF(ISNUMBER(T57),T57,NA())</f>
        <v>#N/A</v>
      </c>
    </row>
    <row r="69" customFormat="false" ht="15" hidden="false" customHeight="false" outlineLevel="0" collapsed="false">
      <c r="A69" s="53" t="n">
        <v>30000</v>
      </c>
      <c r="B69" s="58" t="n">
        <f aca="false">IF(ISNUMBER(R46),R46,NA())</f>
        <v>1.41677030348149</v>
      </c>
      <c r="C69" s="58" t="n">
        <f aca="false">IF(ISNUMBER(R52),R52,NA())</f>
        <v>1.39151994920715</v>
      </c>
      <c r="D69" s="58" t="e">
        <f aca="false">IF(ISNUMBER(R58),R58,NA())</f>
        <v>#N/A</v>
      </c>
      <c r="E69" s="58" t="n">
        <f aca="false">IF(ISNUMBER(S46),S46,NA())</f>
        <v>0.789252494585883</v>
      </c>
      <c r="F69" s="58" t="n">
        <f aca="false">IF(ISNUMBER(S52),S52,NA())</f>
        <v>0.782930016244775</v>
      </c>
      <c r="G69" s="58" t="e">
        <f aca="false">IF(ISNUMBER(S58),S58,NA())</f>
        <v>#N/A</v>
      </c>
      <c r="H69" s="58" t="n">
        <f aca="false">IF(ISNUMBER(T46),T46,NA())</f>
        <v>0.702720810259562</v>
      </c>
      <c r="I69" s="58" t="n">
        <f aca="false">IF(ISNUMBER(T52),T52,NA())</f>
        <v>0.701282709430078</v>
      </c>
      <c r="J69" s="58" t="e">
        <f aca="false">IF(ISNUMBER(T58),T58,NA())</f>
        <v>#N/A</v>
      </c>
    </row>
  </sheetData>
  <mergeCells count="1">
    <mergeCell ref="A21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2026-08-30T08:16:03Z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