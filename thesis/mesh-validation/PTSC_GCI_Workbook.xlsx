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esh Run Data" sheetId="2" state="visible" r:id="rId4"/>
    <sheet name="Mesh Independence Check" sheetId="3" state="visible" r:id="rId5"/>
    <sheet name="Report Definition Reference" sheetId="4" state="visible" r:id="rId6"/>
    <sheet name="Figures &amp; Output Paramete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<sst xmlns="http://schemas.openxmlformats.org/spreadsheetml/2006/main" count="371" uniqueCount="266">
  <si>
    <t xml:space="preserve">PTSC Receiver — GCI &amp; Report Extraction Workbook</t>
  </si>
  <si>
    <t xml:space="preserve">Companion file to the Master Thesis Output Map artifact and Report Definitions Mastery course.</t>
  </si>
  <si>
    <t xml:space="preserve">Cell color legend</t>
  </si>
  <si>
    <t xml:space="preserve">Yellow</t>
  </si>
  <si>
    <t xml:space="preserve">Type your Fluent-extracted numbers here (input cells)</t>
  </si>
  <si>
    <t xml:space="preserve">Tan / gold</t>
  </si>
  <si>
    <t xml:space="preserve">Fixed constants — check these match your case before trusting formulas</t>
  </si>
  <si>
    <t xml:space="preserve">Black text</t>
  </si>
  <si>
    <t xml:space="preserve">Formulas — do not overwrite, they recalculate automatically</t>
  </si>
  <si>
    <t xml:space="preserve">How to use this workbook</t>
  </si>
  <si>
    <t xml:space="preserve">1.</t>
  </si>
  <si>
    <t xml:space="preserve">Run your coarse mesh in Fluent, let it converge, read the Report File / Report Plot final values.</t>
  </si>
  <si>
    <t xml:space="preserve">2.</t>
  </si>
  <si>
    <t xml:space="preserve">Go to 'Mesh Run Data' tab, type the numbers into the 'Coarse' column (yellow cells only).</t>
  </si>
  <si>
    <t xml:space="preserve">3.</t>
  </si>
  <si>
    <t xml:space="preserve">Repeat for Medium and Fine mesh levels as you complete them.</t>
  </si>
  <si>
    <t xml:space="preserve">4.</t>
  </si>
  <si>
    <t xml:space="preserve">Open 'Mesh Independence Check' — it recalculates automatically from whatever you've entered.</t>
  </si>
  <si>
    <t xml:space="preserve">5.</t>
  </si>
  <si>
    <t xml:space="preserve">Both Nu and ΔP within 2% between the two finest mesh levels = mesh independence achieved. Until then, keep refining (add another mesh column if needed).</t>
  </si>
  <si>
    <t xml:space="preserve">Sheets in this workbook</t>
  </si>
  <si>
    <t xml:space="preserve">Mesh Run Data</t>
  </si>
  <si>
    <t xml:space="preserve">Fill in up to 4 mesh levels here — this is your numeric Master Output Map.</t>
  </si>
  <si>
    <t xml:space="preserve">Mesh Independence Check</t>
  </si>
  <si>
    <t xml:space="preserve">Auto-computes the consecutive-mesh percent difference for Nu and ΔP, per Mohammed et al. (2022) Table 4 -- not Richardson extrapolation.</t>
  </si>
  <si>
    <t xml:space="preserve">Report Definition Reference</t>
  </si>
  <si>
    <t xml:space="preserve">Which Fluent report/type/surface each quantity comes from — the descriptive map, for lookup.</t>
  </si>
  <si>
    <t xml:space="preserve">Figures &amp; Output Parameters</t>
  </si>
  <si>
    <t xml:space="preserve">Contours, vectors, streamlines, XY plots, and when Create Output Parameter is actually worth using.</t>
  </si>
  <si>
    <t xml:space="preserve">Important assumption — read before trusting the GCI numbers</t>
  </si>
  <si>
    <t xml:space="preserve">Method note: this workbook uses the simple consecutive-mesh percent-difference method from Mohammed et al. (2022), Table 4 -- not the Celik et al. (2008) Richardson-extrapolation GCI method.</t>
  </si>
  <si>
    <t xml:space="preserve">This matches how your advisor's own published paper accepted mesh independence: compare the two finest levels, and stop once the difference is below 2% -- no monotonicity or apparent-order requirement.</t>
  </si>
  <si>
    <t xml:space="preserve">The paper itself adopted the SECOND-FINEST of its 4 mesh levels once that comparison cleared 2%, not always the very finest -- keep that precedent in mind.</t>
  </si>
  <si>
    <t xml:space="preserve">Mesh Run Data — Mesh Independence Study</t>
  </si>
  <si>
    <t xml:space="preserve">Type Fluent output values into the yellow cells only. Formula rows (black) recalculate automatically. Method: consecutive-mesh percent difference (Mohammed et al. 2022 style), not Richardson extrapolation.</t>
  </si>
  <si>
    <t xml:space="preserve">Fixed constants (check before trusting formulas)</t>
  </si>
  <si>
    <t xml:space="preserve">d_ri</t>
  </si>
  <si>
    <t xml:space="preserve">Absorber tube inner diameter</t>
  </si>
  <si>
    <t xml:space="preserve">m</t>
  </si>
  <si>
    <t xml:space="preserve">CLAUDE.md — LS-2 geometry, dti = 66 mm</t>
  </si>
  <si>
    <t xml:space="preserve">rho_f</t>
  </si>
  <si>
    <t xml:space="preserve">Fluid density (Syltherm 800, reference)</t>
  </si>
  <si>
    <t xml:space="preserve">kg/m³</t>
  </si>
  <si>
    <t xml:space="preserve">solver_and_formulas.md Table 14 — update if evaluating at a different bulk T</t>
  </si>
  <si>
    <t xml:space="preserve">k_f</t>
  </si>
  <si>
    <t xml:space="preserve">Fluid thermal conductivity (Syltherm 800, reference)</t>
  </si>
  <si>
    <t xml:space="preserve">W/m·K</t>
  </si>
  <si>
    <t xml:space="preserve">dpo</t>
  </si>
  <si>
    <t xml:space="preserve">Promoter outer size (this GCI geometry)</t>
  </si>
  <si>
    <t xml:space="preserve">User-confirmed: dpo = 25 mm (Level 2) -- check against taguchi/L27_run_matrix.md if this GCI run changes</t>
  </si>
  <si>
    <t xml:space="preserve">tp</t>
  </si>
  <si>
    <t xml:space="preserve">Promoter wall thickness (this GCI geometry)</t>
  </si>
  <si>
    <t xml:space="preserve">User-confirmed: tp = 2 mm (Level 2) -- check against taguchi/L27_run_matrix.md if this GCI run changes</t>
  </si>
  <si>
    <t xml:space="preserve">dpi</t>
  </si>
  <si>
    <t xml:space="preserve">Promoter inner (hollow) size</t>
  </si>
  <si>
    <t xml:space="preserve">Formula: dpo - 2 x tp</t>
  </si>
  <si>
    <t xml:space="preserve">A_annulus</t>
  </si>
  <si>
    <t xml:space="preserve">Annulus flow area = tube bore minus promoter footprint</t>
  </si>
  <si>
    <t xml:space="preserve">m²</t>
  </si>
  <si>
    <t xml:space="preserve">Formula: (pi x d_ri^2 / 4) - dpo^2 -- exact regardless of twist (rotation preserves area)</t>
  </si>
  <si>
    <t xml:space="preserve">A_core</t>
  </si>
  <si>
    <t xml:space="preserve">Core (hollow) flow area</t>
  </si>
  <si>
    <t xml:space="preserve">Formula: dpi^2</t>
  </si>
  <si>
    <t xml:space="preserve">A_total</t>
  </si>
  <si>
    <t xml:space="preserve">Total flow area (annulus + core)</t>
  </si>
  <si>
    <t xml:space="preserve">Formula: A_annulus + A_core -- feeds u_m via continuity</t>
  </si>
  <si>
    <t xml:space="preserve">Quantity</t>
  </si>
  <si>
    <t xml:space="preserve">Symbol</t>
  </si>
  <si>
    <t xml:space="preserve">Unit</t>
  </si>
  <si>
    <t xml:space="preserve">Mesh 1 (Coarsest)</t>
  </si>
  <si>
    <t xml:space="preserve">Mesh 2</t>
  </si>
  <si>
    <t xml:space="preserve">Mesh 3</t>
  </si>
  <si>
    <t xml:space="preserve">Mesh 4 (Finest)</t>
  </si>
  <si>
    <t xml:space="preserve">Notes</t>
  </si>
  <si>
    <t xml:space="preserve">MESH</t>
  </si>
  <si>
    <t xml:space="preserve">Cell Count (Elements)</t>
  </si>
  <si>
    <t xml:space="preserve">N</t>
  </si>
  <si>
    <t xml:space="preserve">count</t>
  </si>
  <si>
    <t xml:space="preserve">Mesh Report → Cell Count (fluid_domain)</t>
  </si>
  <si>
    <t xml:space="preserve">Nodes</t>
  </si>
  <si>
    <t xml:space="preserve">—</t>
  </si>
  <si>
    <t xml:space="preserve">Mesh → Statistics → Nodes (NOT a Report Definition)</t>
  </si>
  <si>
    <t xml:space="preserve">y+ average</t>
  </si>
  <si>
    <t xml:space="preserve">y+_avg</t>
  </si>
  <si>
    <t xml:space="preserve">Surface Report, Area-Wtd Avg, Wall Yplus, tube_wall_inner_interface, at highest Re</t>
  </si>
  <si>
    <t xml:space="preserve">y+ maximum</t>
  </si>
  <si>
    <t xml:space="preserve">y+_max</t>
  </si>
  <si>
    <t xml:space="preserve">Surface Report, Facet Maximum, Wall Yplus, same surface</t>
  </si>
  <si>
    <t xml:space="preserve">Max skewness</t>
  </si>
  <si>
    <t xml:space="preserve">Mesh → Quality panel. Target &lt; 0.95 (0.80-0.95 = 'bad' per ANSYS guidance, still watch it)</t>
  </si>
  <si>
    <t xml:space="preserve">Min orthogonal quality</t>
  </si>
  <si>
    <t xml:space="preserve">Mesh → Quality panel. Target &gt; 0.01 -- flag if lower, check WHERE the worst cell sits</t>
  </si>
  <si>
    <t xml:space="preserve">Inflation aspect ratio</t>
  </si>
  <si>
    <t xml:space="preserve">Mesh → Quality panel (NOT a Report Definition)</t>
  </si>
  <si>
    <t xml:space="preserve">TEMPERATURE</t>
  </si>
  <si>
    <t xml:space="preserve">Inlet temperature</t>
  </si>
  <si>
    <t xml:space="preserve">T_in</t>
  </si>
  <si>
    <t xml:space="preserve">K</t>
  </si>
  <si>
    <t xml:space="preserve">Surface Report, Mass-Wtd Avg, Static Temp, both inlet faces</t>
  </si>
  <si>
    <t xml:space="preserve">Outlet temperature</t>
  </si>
  <si>
    <t xml:space="preserve">T_out</t>
  </si>
  <si>
    <t xml:space="preserve">Surface Report, Mass-Wtd Avg, Static Temp, both outlet faces</t>
  </si>
  <si>
    <t xml:space="preserve">Wall temperature (T_ri)</t>
  </si>
  <si>
    <t xml:space="preserve">T_wall</t>
  </si>
  <si>
    <t xml:space="preserve">Surface Report, Area-Wtd Avg, Static Temp, tube_wall_inner_interface</t>
  </si>
  <si>
    <t xml:space="preserve">Bulk temperature</t>
  </si>
  <si>
    <t xml:space="preserve">T_b</t>
  </si>
  <si>
    <t xml:space="preserve">Formula: (T_in + T_out) / 2</t>
  </si>
  <si>
    <t xml:space="preserve">PRESSURE &amp; FLOW</t>
  </si>
  <si>
    <t xml:space="preserve">Inlet pressure</t>
  </si>
  <si>
    <t xml:space="preserve">p_in</t>
  </si>
  <si>
    <t xml:space="preserve">Pa</t>
  </si>
  <si>
    <t xml:space="preserve">Surface Report, Area-Wtd Avg, Static Pressure, both inlet faces</t>
  </si>
  <si>
    <t xml:space="preserve">Outlet pressure</t>
  </si>
  <si>
    <t xml:space="preserve">p_out</t>
  </si>
  <si>
    <t xml:space="preserve">Surface Report, Area-Wtd Avg, Static Pressure, both outlet faces</t>
  </si>
  <si>
    <t xml:space="preserve">Pressure drop</t>
  </si>
  <si>
    <t xml:space="preserve">ΔP</t>
  </si>
  <si>
    <t xml:space="preserve">Formula: p_in minus p_out</t>
  </si>
  <si>
    <t xml:space="preserve">Wall shear stress</t>
  </si>
  <si>
    <t xml:space="preserve">τ_w</t>
  </si>
  <si>
    <t xml:space="preserve">Surface Report, Area-Wtd Avg, Wall Fluxes → Wall Shear Stress</t>
  </si>
  <si>
    <t xml:space="preserve">Mass flow rate — inlet</t>
  </si>
  <si>
    <t xml:space="preserve">ṁ_in</t>
  </si>
  <si>
    <t xml:space="preserve">kg/s</t>
  </si>
  <si>
    <t xml:space="preserve">Surface/Flux Report, Mass Flow Rate, both inlet faces (core + annulus)</t>
  </si>
  <si>
    <t xml:space="preserve">Mass flow rate — outlet</t>
  </si>
  <si>
    <t xml:space="preserve">ṁ_out</t>
  </si>
  <si>
    <t xml:space="preserve">Surface/Flux Report, Mass Flow Rate, both outlet faces (core + annulus)</t>
  </si>
  <si>
    <t xml:space="preserve">Mean velocity</t>
  </si>
  <si>
    <t xml:space="preserve">u_m</t>
  </si>
  <si>
    <t xml:space="preserve">m/s</t>
  </si>
  <si>
    <t xml:space="preserve">Formula: mdot_in / (rho x A_total) -- via continuity, using this run's dpo/tp geometry</t>
  </si>
  <si>
    <t xml:space="preserve">Friction factor</t>
  </si>
  <si>
    <t xml:space="preserve">f</t>
  </si>
  <si>
    <t xml:space="preserve">Formula: 2 x tau_w / (rho x u_m^2)</t>
  </si>
  <si>
    <t xml:space="preserve">Mass balance error</t>
  </si>
  <si>
    <t xml:space="preserve">%</t>
  </si>
  <si>
    <t xml:space="preserve">Should be very small (&lt;0.1%) at true convergence</t>
  </si>
  <si>
    <t xml:space="preserve">HEAT TRANSFER</t>
  </si>
  <si>
    <t xml:space="preserve">Wall heat flux (avg)</t>
  </si>
  <si>
    <t xml:space="preserve">q"</t>
  </si>
  <si>
    <t xml:space="preserve">W/m²</t>
  </si>
  <si>
    <t xml:space="preserve">Surface Report, Area-Wtd Avg, Wall Fluxes → Total Surface Heat Flux</t>
  </si>
  <si>
    <t xml:space="preserve">Total heat transfer rate</t>
  </si>
  <si>
    <t xml:space="preserve">Q̇</t>
  </si>
  <si>
    <t xml:space="preserve">W</t>
  </si>
  <si>
    <t xml:space="preserve">Flux Report, Total Heat Transfer Rate, both absorber walls</t>
  </si>
  <si>
    <t xml:space="preserve">Heat transfer coefficient</t>
  </si>
  <si>
    <t xml:space="preserve">h</t>
  </si>
  <si>
    <t xml:space="preserve">W/m²K</t>
  </si>
  <si>
    <t xml:space="preserve">Formula: q_flux / (T_wall minus T_b) -- built manually, not Fluent's built-in h</t>
  </si>
  <si>
    <t xml:space="preserve">Nusselt number</t>
  </si>
  <si>
    <t xml:space="preserve">Nu</t>
  </si>
  <si>
    <t xml:space="preserve">Formula: h x d_ri / k_f -- mesh independence monitor #1</t>
  </si>
  <si>
    <t xml:space="preserve">Method: consecutive-mesh percent difference, per Mohammed et al. (2022) Table 4 — NOT Richardson extrapolation / Celik GCI. Threshold: 2% (per the published paper; the thesis proposal draft states 1% but its own Table 13 doesn't reconcile internally, so 2% from the verified published source is used here).</t>
  </si>
  <si>
    <t xml:space="preserve">Nusselt Number (Nu) -- Monitor #1</t>
  </si>
  <si>
    <t xml:space="preserve">Mesh</t>
  </si>
  <si>
    <t xml:space="preserve">Elements</t>
  </si>
  <si>
    <t xml:space="preserve">Value</t>
  </si>
  <si>
    <t xml:space="preserve">% diff vs. previous mesh</t>
  </si>
  <si>
    <t xml:space="preserve">Verdict</t>
  </si>
  <si>
    <t xml:space="preserve">Pressure Drop (ΔP) -- Monitor #2</t>
  </si>
  <si>
    <t xml:space="preserve">Mesh independence is declared once BOTH Nu and ΔP clear the 2% bar between the two finest mesh levels -- matching Mohammed et al. (2022) Table 4's own acceptance practice (they adopted Mesh 3 of 4, not the finest, the moment it cleared their threshold).</t>
  </si>
  <si>
    <t xml:space="preserve">Descriptive lookup — not for data entry. See 'Mesh Run Data' to fill in numbers.</t>
  </si>
  <si>
    <t xml:space="preserve">Category</t>
  </si>
  <si>
    <t xml:space="preserve">Report Type</t>
  </si>
  <si>
    <t xml:space="preserve">Field Variable</t>
  </si>
  <si>
    <t xml:space="preserve">Surface / Zone</t>
  </si>
  <si>
    <t xml:space="preserve">Units</t>
  </si>
  <si>
    <t xml:space="preserve">Monitor?</t>
  </si>
  <si>
    <t xml:space="preserve">Surface</t>
  </si>
  <si>
    <t xml:space="preserve">Mass-Weighted Avg</t>
  </si>
  <si>
    <t xml:space="preserve">Static Temperature</t>
  </si>
  <si>
    <t xml:space="preserve">both inlet faces (blended)</t>
  </si>
  <si>
    <t xml:space="preserve">Yes</t>
  </si>
  <si>
    <t xml:space="preserve">Feeds Re, ΔT</t>
  </si>
  <si>
    <t xml:space="preserve">both outlet faces (blended)</t>
  </si>
  <si>
    <t xml:space="preserve">Feeds Q̇_u, η_th</t>
  </si>
  <si>
    <t xml:space="preserve">T_ri (wall)</t>
  </si>
  <si>
    <t xml:space="preserve">Area-Weighted Avg</t>
  </si>
  <si>
    <t xml:space="preserve">tube_wall_inner_interface</t>
  </si>
  <si>
    <t xml:space="preserve">Feeds h</t>
  </si>
  <si>
    <t xml:space="preserve">T_wall,max</t>
  </si>
  <si>
    <t xml:space="preserve">Facet Maximum</t>
  </si>
  <si>
    <t xml:space="preserve">absorber_wall_lower/upper</t>
  </si>
  <si>
    <t xml:space="preserve">No</t>
  </si>
  <si>
    <t xml:space="preserve">Thermal-stress discussion</t>
  </si>
  <si>
    <t xml:space="preserve">Wall T uniformity</t>
  </si>
  <si>
    <t xml:space="preserve">Standard Deviation</t>
  </si>
  <si>
    <t xml:space="preserve">absorber_wall_lower</t>
  </si>
  <si>
    <t xml:space="preserve">Uniformity claim</t>
  </si>
  <si>
    <t xml:space="preserve">p_in / p_out</t>
  </si>
  <si>
    <t xml:space="preserve">Static Pressure</t>
  </si>
  <si>
    <t xml:space="preserve">inlet / outlet faces (blended)</t>
  </si>
  <si>
    <t xml:space="preserve">Feeds ΔP</t>
  </si>
  <si>
    <t xml:space="preserve">ṁ (mass flow)</t>
  </si>
  <si>
    <t xml:space="preserve">Surface / Flux</t>
  </si>
  <si>
    <t xml:space="preserve">Mass Flow Rate</t>
  </si>
  <si>
    <t xml:space="preserve">inlet &amp; outlet, separately</t>
  </si>
  <si>
    <t xml:space="preserve">Mass-balance convergence check</t>
  </si>
  <si>
    <t xml:space="preserve">V̇ (volume flow)</t>
  </si>
  <si>
    <t xml:space="preserve">Flow Rate</t>
  </si>
  <si>
    <t xml:space="preserve">inlet</t>
  </si>
  <si>
    <t xml:space="preserve">m³/s</t>
  </si>
  <si>
    <t xml:space="preserve">Feeds pumping power P_p</t>
  </si>
  <si>
    <t xml:space="preserve">τ_w (wall shear)</t>
  </si>
  <si>
    <t xml:space="preserve">Wall Fluxes → Wall Shear Stress</t>
  </si>
  <si>
    <t xml:space="preserve">Feeds f</t>
  </si>
  <si>
    <t xml:space="preserve">u_m (mean velocity)</t>
  </si>
  <si>
    <t xml:space="preserve">Derived</t>
  </si>
  <si>
    <t xml:space="preserve">Formula: mdot_in / (rho x A_total)</t>
  </si>
  <si>
    <t xml:space="preserve">no Fluent surface needed</t>
  </si>
  <si>
    <t xml:space="preserve">A_total from dpo/tp geometry (exact -- twist doesn't change cross-sectional area)</t>
  </si>
  <si>
    <t xml:space="preserve">q'' (wall flux)</t>
  </si>
  <si>
    <t xml:space="preserve">Wall Fluxes → Total Surface Heat Flux</t>
  </si>
  <si>
    <t xml:space="preserve">BC check, feeds h</t>
  </si>
  <si>
    <t xml:space="preserve">Q̇ (total heat in)</t>
  </si>
  <si>
    <t xml:space="preserve">Flux</t>
  </si>
  <si>
    <t xml:space="preserve">Total Heat Transfer Rate</t>
  </si>
  <si>
    <t xml:space="preserve">absorber_wall_lower + upper</t>
  </si>
  <si>
    <t xml:space="preserve">Energy-balance cross-check vs Q̇_u</t>
  </si>
  <si>
    <t xml:space="preserve">MESH / GCI</t>
  </si>
  <si>
    <t xml:space="preserve">Cell Count</t>
  </si>
  <si>
    <t xml:space="preserve">fluid_domain</t>
  </si>
  <si>
    <t xml:space="preserve">Per mesh level, before running</t>
  </si>
  <si>
    <t xml:space="preserve">y+ avg / max</t>
  </si>
  <si>
    <t xml:space="preserve">Area-Wtd Avg / Facet Max</t>
  </si>
  <si>
    <t xml:space="preserve">Wall Fluxes → Wall Yplus</t>
  </si>
  <si>
    <t xml:space="preserve">tube_wall_inner_interface, highest Re</t>
  </si>
  <si>
    <t xml:space="preserve">Near-wall resolution check</t>
  </si>
  <si>
    <t xml:space="preserve">Skewness / orthogonal quality / aspect ratio</t>
  </si>
  <si>
    <t xml:space="preserve">N/A</t>
  </si>
  <si>
    <t xml:space="preserve">Not a Report Definition</t>
  </si>
  <si>
    <t xml:space="preserve">Read from Mesh → Quality panel directly</t>
  </si>
  <si>
    <t xml:space="preserve">The tools that turn a converged case into thesis figures, plus when Create Output Parameter is worth using.</t>
  </si>
  <si>
    <t xml:space="preserve">Visualization tools</t>
  </si>
  <si>
    <t xml:space="preserve">Tool</t>
  </si>
  <si>
    <t xml:space="preserve">Answers the question</t>
  </si>
  <si>
    <t xml:space="preserve">What to use it on</t>
  </si>
  <si>
    <t xml:space="preserve">Thesis use</t>
  </si>
  <si>
    <t xml:space="preserve">Contours</t>
  </si>
  <si>
    <t xml:space="preserve">Where is this value high/low in space?</t>
  </si>
  <si>
    <t xml:space="preserve">A cross-sectional plane you slice through the fluid domain</t>
  </si>
  <si>
    <t xml:space="preserve">Temperature spread, wall hot spots</t>
  </si>
  <si>
    <t xml:space="preserve">Vectors</t>
  </si>
  <si>
    <t xml:space="preserve">Which way and how fast is the fluid moving?</t>
  </si>
  <si>
    <t xml:space="preserve">Cross-sectional plane, perpendicular to main flow</t>
  </si>
  <si>
    <t xml:space="preserve">Proof of secondary swirl from the promoter — your key mechanism figure</t>
  </si>
  <si>
    <t xml:space="preserve">Streamlines / Pathlines</t>
  </si>
  <si>
    <t xml:space="preserve">What path does the fluid take?</t>
  </si>
  <si>
    <t xml:space="preserve">Released from the inlet, traced through the geometry</t>
  </si>
  <si>
    <t xml:space="preserve">Visualizes the helical path around the twisted promoter</t>
  </si>
  <si>
    <t xml:space="preserve">XY Plot — Nu vs. axial position</t>
  </si>
  <si>
    <t xml:space="preserve">How does Nu change along the tube?</t>
  </si>
  <si>
    <t xml:space="preserve">A line along the tube's length</t>
  </si>
  <si>
    <t xml:space="preserve">Shows entrance-region effect (developing vs. fully developed flow)</t>
  </si>
  <si>
    <t xml:space="preserve">XY Plot — Nu vs. Re</t>
  </si>
  <si>
    <t xml:space="preserve">Does my Nu match the literature correlation?</t>
  </si>
  <si>
    <t xml:space="preserve">Your computed Nu at each Re, plus the Gnielinski curve</t>
  </si>
  <si>
    <t xml:space="preserve">Validation figure</t>
  </si>
  <si>
    <t xml:space="preserve">Create Output Parameter — do you need it?</t>
  </si>
  <si>
    <t xml:space="preserve">What it is: promotes a Report Definition so ANSYS Workbench can see it at the project level, across multiple linked simulations — not just inside this one Fluent session.</t>
  </si>
  <si>
    <t xml:space="preserve">Right now (GCI phase, 3 mesh levels, single geometry): NOT needed. This workbook — you typing converged values into 'Mesh Run Data' — is simpler and sufficient. No Workbench automation is running yet.</t>
  </si>
  <si>
    <t xml:space="preserve">Later (27-run Taguchi phase): genuinely useful. If Pt, dpo, tp are set up as Workbench input parameters and Nu/f as output parameters, Workbench can drive the sweep automatically — changing inputs, re-meshing, re-solving, and collecting results into one project-level table (its 'Design Point' table) without you manually rebuilding each case.</t>
  </si>
  <si>
    <t xml:space="preserve">"One big file that updates every run" — the honest answer: for 3 runs, manual entry into this workbook (Mesh Run Data tab) is the correct, reliable method — not worth automating. For the 27-run phase, Workbench's Parameter Set + Design Point table IS that auto-updating master file — each completed run appends its own row automatically. That gets set up when the 27-run phase actually starts, not before.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</si>
</sst>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#,##0"/>
    <numFmt numFmtId="167" formatCode="0.0000"/>
    <numFmt numFmtId="168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42A"/>
      <name val="Arial"/>
      <family val="0"/>
      <charset val="1"/>
    </font>
    <font>
      <i val="true"/>
      <sz val="10"/>
      <color rgb="FF56686E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2CC"/>
      </patternFill>
    </fill>
    <fill>
      <patternFill patternType="solid">
        <fgColor rgb="FFFFF2CC"/>
        <bgColor rgb="FFFFFFCC"/>
      </patternFill>
    </fill>
    <fill>
      <patternFill patternType="solid">
        <fgColor rgb="FF0D7D8C"/>
        <bgColor rgb="FF008080"/>
      </patternFill>
    </fill>
    <fill>
      <patternFill patternType="solid">
        <fgColor rgb="FFD8EEF0"/>
        <bgColor rgb="FFD5DE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EE0"/>
      </left>
      <right style="thin">
        <color rgb="FFD5DEE0"/>
      </right>
      <top style="thin">
        <color rgb="FFD5DEE0"/>
      </top>
      <bottom style="thin">
        <color rgb="FFD5DE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D8C"/>
      <rgbColor rgb="FFC0C0C0"/>
      <rgbColor rgb="FF808080"/>
      <rgbColor rgb="FF9999FF"/>
      <rgbColor rgb="FF993366"/>
      <rgbColor rgb="FFFFFFCC"/>
      <rgbColor rgb="FFD8EEF0"/>
      <rgbColor rgb="FF660066"/>
      <rgbColor rgb="FFFF8080"/>
      <rgbColor rgb="FF0066CC"/>
      <rgbColor rgb="FFD5DE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8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4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95"/>
    <col collapsed="false" customWidth="true" hidden="false" outlineLevel="0" max="6" min="3" style="1" width="10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/>
      <c r="B4" s="5"/>
    </row>
    <row r="5" customFormat="false" ht="15" hidden="false" customHeight="true" outlineLevel="0" collapsed="false">
      <c r="A5" s="6" t="s">
        <v>2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7" t="s">
        <v>3</v>
      </c>
      <c r="B6" s="4" t="s">
        <v>4</v>
      </c>
    </row>
    <row r="7" customFormat="false" ht="15" hidden="false" customHeight="true" outlineLevel="0" collapsed="false">
      <c r="A7" s="8" t="s">
        <v>5</v>
      </c>
      <c r="B7" s="4" t="s">
        <v>6</v>
      </c>
    </row>
    <row r="8" customFormat="false" ht="15" hidden="false" customHeight="true" outlineLevel="0" collapsed="false">
      <c r="A8" s="9" t="s">
        <v>7</v>
      </c>
      <c r="B8" s="5" t="s">
        <v>8</v>
      </c>
    </row>
    <row r="9" customFormat="false" ht="15" hidden="false" customHeight="true" outlineLevel="0" collapsed="false">
      <c r="A9" s="4"/>
      <c r="B9" s="5"/>
    </row>
    <row r="10" customFormat="false" ht="15" hidden="false" customHeight="true" outlineLevel="0" collapsed="false">
      <c r="A10" s="6" t="s">
        <v>9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4" t="s">
        <v>10</v>
      </c>
      <c r="B11" s="5" t="s">
        <v>11</v>
      </c>
    </row>
    <row r="12" customFormat="false" ht="15" hidden="false" customHeight="true" outlineLevel="0" collapsed="false">
      <c r="A12" s="4" t="s">
        <v>12</v>
      </c>
      <c r="B12" s="5" t="s">
        <v>13</v>
      </c>
    </row>
    <row r="13" customFormat="false" ht="15" hidden="false" customHeight="true" outlineLevel="0" collapsed="false">
      <c r="A13" s="4" t="s">
        <v>14</v>
      </c>
      <c r="B13" s="5" t="s">
        <v>15</v>
      </c>
    </row>
    <row r="14" customFormat="false" ht="15" hidden="false" customHeight="true" outlineLevel="0" collapsed="false">
      <c r="A14" s="4" t="s">
        <v>16</v>
      </c>
      <c r="B14" s="5" t="s">
        <v>17</v>
      </c>
    </row>
    <row r="15" customFormat="false" ht="23.25" hidden="false" customHeight="true" outlineLevel="0" collapsed="false">
      <c r="A15" s="4" t="s">
        <v>18</v>
      </c>
      <c r="B15" s="5" t="s">
        <v>19</v>
      </c>
    </row>
    <row r="16" customFormat="false" ht="15" hidden="false" customHeight="true" outlineLevel="0" collapsed="false">
      <c r="A16" s="4"/>
      <c r="B16" s="5"/>
    </row>
    <row r="17" customFormat="false" ht="15" hidden="false" customHeight="true" outlineLevel="0" collapsed="false">
      <c r="A17" s="6" t="s">
        <v>20</v>
      </c>
      <c r="B17" s="6"/>
      <c r="C17" s="6"/>
      <c r="D17" s="6"/>
      <c r="E17" s="6"/>
      <c r="F17" s="6"/>
    </row>
    <row r="18" customFormat="false" ht="15" hidden="false" customHeight="true" outlineLevel="0" collapsed="false">
      <c r="A18" s="9" t="s">
        <v>21</v>
      </c>
      <c r="B18" s="5" t="s">
        <v>22</v>
      </c>
    </row>
    <row r="19" customFormat="false" ht="15" hidden="false" customHeight="true" outlineLevel="0" collapsed="false">
      <c r="A19" s="9" t="s">
        <v>23</v>
      </c>
      <c r="B19" s="5" t="s">
        <v>24</v>
      </c>
    </row>
    <row r="20" customFormat="false" ht="15" hidden="false" customHeight="true" outlineLevel="0" collapsed="false">
      <c r="A20" s="9" t="s">
        <v>25</v>
      </c>
      <c r="B20" s="5" t="s">
        <v>26</v>
      </c>
    </row>
    <row r="21" customFormat="false" ht="15" hidden="false" customHeight="true" outlineLevel="0" collapsed="false">
      <c r="A21" s="9" t="s">
        <v>27</v>
      </c>
      <c r="B21" s="5" t="s">
        <v>28</v>
      </c>
    </row>
    <row r="22" customFormat="false" ht="15" hidden="false" customHeight="true" outlineLevel="0" collapsed="false">
      <c r="A22" s="4"/>
      <c r="B22" s="5"/>
    </row>
    <row r="23" customFormat="false" ht="15" hidden="false" customHeight="true" outlineLevel="0" collapsed="false">
      <c r="A23" s="6" t="s">
        <v>29</v>
      </c>
      <c r="B23" s="6"/>
      <c r="C23" s="6"/>
      <c r="D23" s="6"/>
      <c r="E23" s="6"/>
      <c r="F23" s="6"/>
    </row>
    <row r="24" customFormat="false" ht="23.25" hidden="false" customHeight="true" outlineLevel="0" collapsed="false">
      <c r="A24" s="4"/>
      <c r="B24" s="5" t="s">
        <v>30</v>
      </c>
    </row>
    <row r="25" customFormat="false" ht="23.25" hidden="false" customHeight="true" outlineLevel="0" collapsed="false">
      <c r="A25" s="4"/>
      <c r="B25" s="5" t="s">
        <v>31</v>
      </c>
    </row>
    <row r="26" customFormat="false" ht="23.25" hidden="false" customHeight="true" outlineLevel="0" collapsed="false">
      <c r="A26" s="4"/>
      <c r="B26" s="5" t="s">
        <v>32</v>
      </c>
    </row>
  </sheetData>
  <mergeCells count="6">
    <mergeCell ref="A1:F1"/>
    <mergeCell ref="A2:F2"/>
    <mergeCell ref="A5:F5"/>
    <mergeCell ref="A10:F10"/>
    <mergeCell ref="A17:F17"/>
    <mergeCell ref="A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5" topLeftCell="A1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0"/>
    <col collapsed="false" customWidth="true" hidden="false" outlineLevel="0" max="3" min="3" style="1" width="9"/>
    <col collapsed="false" customWidth="true" hidden="false" outlineLevel="0" max="7" min="4" style="1" width="15"/>
    <col collapsed="false" customWidth="true" hidden="false" outlineLevel="0" max="8" min="8" style="1" width="46"/>
  </cols>
  <sheetData>
    <row r="1" customFormat="false" ht="17.25" hidden="false" customHeight="true" outlineLevel="0" collapsed="false">
      <c r="A1" s="2" t="s">
        <v>33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34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6" t="s">
        <v>35</v>
      </c>
      <c r="B4" s="6"/>
      <c r="C4" s="6"/>
      <c r="D4" s="6"/>
      <c r="E4" s="6"/>
      <c r="F4" s="6"/>
      <c r="G4" s="6"/>
      <c r="H4" s="6"/>
    </row>
    <row r="5" customFormat="false" ht="15" hidden="false" customHeight="true" outlineLevel="0" collapsed="false">
      <c r="A5" s="9" t="s">
        <v>36</v>
      </c>
      <c r="B5" s="4" t="s">
        <v>37</v>
      </c>
      <c r="C5" s="10" t="n">
        <v>0.066</v>
      </c>
      <c r="D5" s="4" t="s">
        <v>38</v>
      </c>
      <c r="E5" s="3" t="s">
        <v>39</v>
      </c>
      <c r="F5" s="3"/>
      <c r="G5" s="3"/>
    </row>
    <row r="6" customFormat="false" ht="15" hidden="false" customHeight="true" outlineLevel="0" collapsed="false">
      <c r="A6" s="9" t="s">
        <v>40</v>
      </c>
      <c r="B6" s="4" t="s">
        <v>41</v>
      </c>
      <c r="C6" s="10" t="n">
        <v>747.2</v>
      </c>
      <c r="D6" s="4" t="s">
        <v>42</v>
      </c>
      <c r="E6" s="3" t="s">
        <v>43</v>
      </c>
      <c r="F6" s="3"/>
      <c r="G6" s="3"/>
    </row>
    <row r="7" customFormat="false" ht="15" hidden="false" customHeight="true" outlineLevel="0" collapsed="false">
      <c r="A7" s="9" t="s">
        <v>44</v>
      </c>
      <c r="B7" s="4" t="s">
        <v>45</v>
      </c>
      <c r="C7" s="10" t="n">
        <v>0.0961</v>
      </c>
      <c r="D7" s="4" t="s">
        <v>46</v>
      </c>
      <c r="E7" s="3" t="s">
        <v>43</v>
      </c>
      <c r="F7" s="3"/>
      <c r="G7" s="3"/>
    </row>
    <row r="8" customFormat="false" ht="15" hidden="false" customHeight="true" outlineLevel="0" collapsed="false">
      <c r="A8" s="9" t="s">
        <v>47</v>
      </c>
      <c r="B8" s="4" t="s">
        <v>48</v>
      </c>
      <c r="C8" s="10" t="n">
        <v>0.025</v>
      </c>
      <c r="D8" s="4" t="s">
        <v>38</v>
      </c>
      <c r="E8" s="3" t="s">
        <v>49</v>
      </c>
      <c r="F8" s="3"/>
      <c r="G8" s="3"/>
    </row>
    <row r="9" customFormat="false" ht="15" hidden="false" customHeight="true" outlineLevel="0" collapsed="false">
      <c r="A9" s="9" t="s">
        <v>50</v>
      </c>
      <c r="B9" s="4" t="s">
        <v>51</v>
      </c>
      <c r="C9" s="10" t="n">
        <v>0.002</v>
      </c>
      <c r="D9" s="4" t="s">
        <v>38</v>
      </c>
      <c r="E9" s="3" t="s">
        <v>52</v>
      </c>
      <c r="F9" s="3"/>
      <c r="G9" s="3"/>
    </row>
    <row r="10" customFormat="false" ht="15" hidden="false" customHeight="true" outlineLevel="0" collapsed="false">
      <c r="A10" s="9" t="s">
        <v>53</v>
      </c>
      <c r="B10" s="4" t="s">
        <v>54</v>
      </c>
      <c r="C10" s="11" t="n">
        <f aca="false">$C$8-2*$C$9</f>
        <v>0.021</v>
      </c>
      <c r="D10" s="4" t="s">
        <v>38</v>
      </c>
      <c r="E10" s="3" t="s">
        <v>55</v>
      </c>
      <c r="F10" s="3"/>
      <c r="G10" s="3"/>
    </row>
    <row r="11" customFormat="false" ht="15" hidden="false" customHeight="true" outlineLevel="0" collapsed="false">
      <c r="A11" s="9" t="s">
        <v>56</v>
      </c>
      <c r="B11" s="4" t="s">
        <v>57</v>
      </c>
      <c r="C11" s="11" t="n">
        <f aca="false">PI()*$C$5^2/4-$C$8^2</f>
        <v>0.00279619439975929</v>
      </c>
      <c r="D11" s="4" t="s">
        <v>58</v>
      </c>
      <c r="E11" s="3" t="s">
        <v>59</v>
      </c>
      <c r="F11" s="3"/>
      <c r="G11" s="3"/>
    </row>
    <row r="12" customFormat="false" ht="15" hidden="false" customHeight="true" outlineLevel="0" collapsed="false">
      <c r="A12" s="9" t="s">
        <v>60</v>
      </c>
      <c r="B12" s="4" t="s">
        <v>61</v>
      </c>
      <c r="C12" s="11" t="n">
        <f aca="false">$C$10^2</f>
        <v>0.000441</v>
      </c>
      <c r="D12" s="4" t="s">
        <v>58</v>
      </c>
      <c r="E12" s="3" t="s">
        <v>62</v>
      </c>
      <c r="F12" s="3"/>
      <c r="G12" s="3"/>
    </row>
    <row r="13" customFormat="false" ht="15" hidden="false" customHeight="true" outlineLevel="0" collapsed="false">
      <c r="A13" s="9" t="s">
        <v>63</v>
      </c>
      <c r="B13" s="4" t="s">
        <v>64</v>
      </c>
      <c r="C13" s="11" t="n">
        <f aca="false">$C$11+$C$12</f>
        <v>0.00323719439975929</v>
      </c>
      <c r="D13" s="4" t="s">
        <v>58</v>
      </c>
      <c r="E13" s="3" t="s">
        <v>65</v>
      </c>
      <c r="F13" s="3"/>
      <c r="G13" s="3"/>
    </row>
    <row r="15" customFormat="false" ht="27.75" hidden="false" customHeight="true" outlineLevel="0" collapsed="false">
      <c r="A15" s="12" t="s">
        <v>66</v>
      </c>
      <c r="B15" s="12" t="s">
        <v>67</v>
      </c>
      <c r="C15" s="12" t="s">
        <v>68</v>
      </c>
      <c r="D15" s="12" t="s">
        <v>69</v>
      </c>
      <c r="E15" s="12" t="s">
        <v>70</v>
      </c>
      <c r="F15" s="12" t="s">
        <v>71</v>
      </c>
      <c r="G15" s="12" t="s">
        <v>72</v>
      </c>
      <c r="H15" s="12" t="s">
        <v>73</v>
      </c>
    </row>
    <row r="16" customFormat="false" ht="15" hidden="false" customHeight="true" outlineLevel="0" collapsed="false">
      <c r="A16" s="13" t="s">
        <v>74</v>
      </c>
      <c r="B16" s="13"/>
      <c r="C16" s="13"/>
      <c r="D16" s="13"/>
      <c r="E16" s="13"/>
      <c r="F16" s="13"/>
      <c r="G16" s="13"/>
      <c r="H16" s="13"/>
    </row>
    <row r="17" customFormat="false" ht="15" hidden="false" customHeight="true" outlineLevel="0" collapsed="false">
      <c r="A17" s="11" t="s">
        <v>75</v>
      </c>
      <c r="B17" s="11" t="s">
        <v>76</v>
      </c>
      <c r="C17" s="11" t="s">
        <v>77</v>
      </c>
      <c r="D17" s="14" t="n">
        <v>2718404</v>
      </c>
      <c r="E17" s="14" t="n">
        <v>4888550</v>
      </c>
      <c r="F17" s="14" t="n">
        <v>8658088</v>
      </c>
      <c r="G17" s="14" t="n">
        <v>15675184</v>
      </c>
      <c r="H17" s="15" t="s">
        <v>78</v>
      </c>
    </row>
    <row r="18" customFormat="false" ht="15" hidden="false" customHeight="true" outlineLevel="0" collapsed="false">
      <c r="A18" s="11" t="s">
        <v>79</v>
      </c>
      <c r="B18" s="11" t="s">
        <v>80</v>
      </c>
      <c r="C18" s="11" t="s">
        <v>77</v>
      </c>
      <c r="D18" s="14" t="n">
        <v>1270568</v>
      </c>
      <c r="E18" s="14" t="n">
        <v>2212552</v>
      </c>
      <c r="F18" s="14" t="n">
        <v>3761583</v>
      </c>
      <c r="G18" s="14" t="n">
        <v>6571364</v>
      </c>
      <c r="H18" s="15" t="s">
        <v>81</v>
      </c>
    </row>
    <row r="19" customFormat="false" ht="15" hidden="false" customHeight="true" outlineLevel="0" collapsed="false">
      <c r="A19" s="11" t="s">
        <v>82</v>
      </c>
      <c r="B19" s="11" t="s">
        <v>83</v>
      </c>
      <c r="C19" s="11" t="s">
        <v>80</v>
      </c>
      <c r="D19" s="14" t="n">
        <v>0.28976573</v>
      </c>
      <c r="E19" s="14" t="n">
        <v>0.28853973</v>
      </c>
      <c r="F19" s="14" t="n">
        <v>0.28587271</v>
      </c>
      <c r="G19" s="14" t="n">
        <v>0.28596802</v>
      </c>
      <c r="H19" s="15" t="s">
        <v>84</v>
      </c>
    </row>
    <row r="20" customFormat="false" ht="15" hidden="false" customHeight="true" outlineLevel="0" collapsed="false">
      <c r="A20" s="11" t="s">
        <v>85</v>
      </c>
      <c r="B20" s="11" t="s">
        <v>86</v>
      </c>
      <c r="C20" s="11" t="s">
        <v>80</v>
      </c>
      <c r="D20" s="14" t="n">
        <v>2.2616925</v>
      </c>
      <c r="E20" s="14" t="n">
        <v>2.2067659</v>
      </c>
      <c r="F20" s="14" t="n">
        <v>2.1208642</v>
      </c>
      <c r="G20" s="14" t="n">
        <v>1.638528</v>
      </c>
      <c r="H20" s="15" t="s">
        <v>87</v>
      </c>
    </row>
    <row r="21" customFormat="false" ht="15" hidden="false" customHeight="true" outlineLevel="0" collapsed="false">
      <c r="A21" s="11" t="s">
        <v>88</v>
      </c>
      <c r="B21" s="11" t="s">
        <v>80</v>
      </c>
      <c r="C21" s="11" t="s">
        <v>80</v>
      </c>
      <c r="D21" s="14" t="n">
        <v>0.883</v>
      </c>
      <c r="E21" s="14" t="n">
        <v>0.84786</v>
      </c>
      <c r="F21" s="14" t="n">
        <v>0.84981</v>
      </c>
      <c r="G21" s="14" t="n">
        <v>0.8499</v>
      </c>
      <c r="H21" s="15" t="s">
        <v>89</v>
      </c>
    </row>
    <row r="22" customFormat="false" ht="15" hidden="false" customHeight="true" outlineLevel="0" collapsed="false">
      <c r="A22" s="11" t="s">
        <v>90</v>
      </c>
      <c r="B22" s="11" t="s">
        <v>80</v>
      </c>
      <c r="C22" s="11" t="s">
        <v>80</v>
      </c>
      <c r="D22" s="14" t="n">
        <v>0.009</v>
      </c>
      <c r="E22" s="14" t="n">
        <v>0.012928</v>
      </c>
      <c r="F22" s="14" t="n">
        <v>0.014979</v>
      </c>
      <c r="G22" s="14" t="n">
        <v>0.013121</v>
      </c>
      <c r="H22" s="15" t="s">
        <v>91</v>
      </c>
    </row>
    <row r="23" customFormat="false" ht="15" hidden="false" customHeight="true" outlineLevel="0" collapsed="false">
      <c r="A23" s="11" t="s">
        <v>92</v>
      </c>
      <c r="B23" s="11" t="s">
        <v>80</v>
      </c>
      <c r="C23" s="11" t="s">
        <v>80</v>
      </c>
      <c r="D23" s="14"/>
      <c r="E23" s="14"/>
      <c r="F23" s="14"/>
      <c r="G23" s="14"/>
      <c r="H23" s="15" t="s">
        <v>93</v>
      </c>
    </row>
    <row r="24" customFormat="false" ht="15" hidden="false" customHeight="true" outlineLevel="0" collapsed="false">
      <c r="A24" s="13" t="s">
        <v>94</v>
      </c>
      <c r="B24" s="13"/>
      <c r="C24" s="13"/>
      <c r="D24" s="13"/>
      <c r="E24" s="13"/>
      <c r="F24" s="13"/>
      <c r="G24" s="13"/>
      <c r="H24" s="13"/>
    </row>
    <row r="25" customFormat="false" ht="15" hidden="false" customHeight="true" outlineLevel="0" collapsed="false">
      <c r="A25" s="11" t="s">
        <v>95</v>
      </c>
      <c r="B25" s="11" t="s">
        <v>96</v>
      </c>
      <c r="C25" s="11" t="s">
        <v>97</v>
      </c>
      <c r="D25" s="14" t="n">
        <v>300</v>
      </c>
      <c r="E25" s="14" t="n">
        <v>300</v>
      </c>
      <c r="F25" s="14" t="n">
        <v>300</v>
      </c>
      <c r="G25" s="14" t="n">
        <v>300</v>
      </c>
      <c r="H25" s="15" t="s">
        <v>98</v>
      </c>
    </row>
    <row r="26" customFormat="false" ht="15" hidden="false" customHeight="true" outlineLevel="0" collapsed="false">
      <c r="A26" s="11" t="s">
        <v>99</v>
      </c>
      <c r="B26" s="11" t="s">
        <v>100</v>
      </c>
      <c r="C26" s="11" t="s">
        <v>97</v>
      </c>
      <c r="D26" s="14" t="n">
        <v>300.10916</v>
      </c>
      <c r="E26" s="14" t="n">
        <v>300.10897</v>
      </c>
      <c r="F26" s="14" t="n">
        <v>300.10891</v>
      </c>
      <c r="G26" s="14" t="n">
        <v>300.10884</v>
      </c>
      <c r="H26" s="15" t="s">
        <v>101</v>
      </c>
    </row>
    <row r="27" customFormat="false" ht="15" hidden="false" customHeight="true" outlineLevel="0" collapsed="false">
      <c r="A27" s="11" t="s">
        <v>102</v>
      </c>
      <c r="B27" s="11" t="s">
        <v>103</v>
      </c>
      <c r="C27" s="11" t="s">
        <v>97</v>
      </c>
      <c r="D27" s="14" t="n">
        <v>300.79988</v>
      </c>
      <c r="E27" s="14" t="n">
        <v>300.79507</v>
      </c>
      <c r="F27" s="14" t="n">
        <v>300.80989</v>
      </c>
      <c r="G27" s="14" t="n">
        <v>300.81887</v>
      </c>
      <c r="H27" s="15" t="s">
        <v>104</v>
      </c>
    </row>
    <row r="28" customFormat="false" ht="15" hidden="false" customHeight="true" outlineLevel="0" collapsed="false">
      <c r="A28" s="16" t="s">
        <v>105</v>
      </c>
      <c r="B28" s="16" t="s">
        <v>106</v>
      </c>
      <c r="C28" s="11" t="s">
        <v>97</v>
      </c>
      <c r="D28" s="17" t="n">
        <f aca="false">(D25+D26)/2</f>
        <v>300.05458</v>
      </c>
      <c r="E28" s="17" t="n">
        <f aca="false">(E25+E26)/2</f>
        <v>300.054485</v>
      </c>
      <c r="F28" s="17" t="n">
        <f aca="false">(F25+F26)/2</f>
        <v>300.054455</v>
      </c>
      <c r="G28" s="17" t="n">
        <f aca="false">(G25+G26)/2</f>
        <v>300.05442</v>
      </c>
      <c r="H28" s="15" t="s">
        <v>107</v>
      </c>
    </row>
    <row r="29" customFormat="false" ht="15" hidden="false" customHeight="true" outlineLevel="0" collapsed="false">
      <c r="A29" s="13" t="s">
        <v>108</v>
      </c>
      <c r="B29" s="13"/>
      <c r="C29" s="13"/>
      <c r="D29" s="13"/>
      <c r="E29" s="13"/>
      <c r="F29" s="13"/>
      <c r="G29" s="13"/>
      <c r="H29" s="13"/>
    </row>
    <row r="30" customFormat="false" ht="15" hidden="false" customHeight="true" outlineLevel="0" collapsed="false">
      <c r="A30" s="11" t="s">
        <v>109</v>
      </c>
      <c r="B30" s="11" t="s">
        <v>110</v>
      </c>
      <c r="C30" s="11" t="s">
        <v>111</v>
      </c>
      <c r="D30" s="14" t="n">
        <v>3604.2315</v>
      </c>
      <c r="E30" s="14" t="n">
        <v>3551.4899</v>
      </c>
      <c r="F30" s="14" t="n">
        <v>3443.4149</v>
      </c>
      <c r="G30" s="14" t="n">
        <v>3480.9322</v>
      </c>
      <c r="H30" s="15" t="s">
        <v>112</v>
      </c>
    </row>
    <row r="31" customFormat="false" ht="15" hidden="false" customHeight="true" outlineLevel="0" collapsed="false">
      <c r="A31" s="11" t="s">
        <v>113</v>
      </c>
      <c r="B31" s="11" t="s">
        <v>114</v>
      </c>
      <c r="C31" s="11" t="s">
        <v>111</v>
      </c>
      <c r="D31" s="14" t="n">
        <v>0</v>
      </c>
      <c r="E31" s="14" t="n">
        <v>0</v>
      </c>
      <c r="F31" s="14" t="n">
        <v>0</v>
      </c>
      <c r="G31" s="14" t="n">
        <v>0</v>
      </c>
      <c r="H31" s="15" t="s">
        <v>115</v>
      </c>
    </row>
    <row r="32" customFormat="false" ht="15" hidden="false" customHeight="true" outlineLevel="0" collapsed="false">
      <c r="A32" s="16" t="s">
        <v>116</v>
      </c>
      <c r="B32" s="16" t="s">
        <v>117</v>
      </c>
      <c r="C32" s="11" t="s">
        <v>111</v>
      </c>
      <c r="D32" s="17" t="n">
        <f aca="false">IF(OR(D30="",D31=""),"",D30-D31)</f>
        <v>3604.2315</v>
      </c>
      <c r="E32" s="17" t="n">
        <f aca="false">IF(OR(E30="",E31=""),"",E30-E31)</f>
        <v>3551.4899</v>
      </c>
      <c r="F32" s="17" t="n">
        <f aca="false">IF(OR(F30="",F31=""),"",F30-F31)</f>
        <v>3443.4149</v>
      </c>
      <c r="G32" s="17" t="n">
        <f aca="false">IF(OR(G30="",G31=""),"",G30-G31)</f>
        <v>3480.9322</v>
      </c>
      <c r="H32" s="15" t="s">
        <v>118</v>
      </c>
    </row>
    <row r="33" customFormat="false" ht="15" hidden="false" customHeight="true" outlineLevel="0" collapsed="false">
      <c r="A33" s="11" t="s">
        <v>119</v>
      </c>
      <c r="B33" s="11" t="s">
        <v>120</v>
      </c>
      <c r="C33" s="11" t="s">
        <v>111</v>
      </c>
      <c r="D33" s="14" t="n">
        <v>6.7540564</v>
      </c>
      <c r="E33" s="14" t="n">
        <v>6.6431553</v>
      </c>
      <c r="F33" s="14" t="n">
        <v>6.4316542</v>
      </c>
      <c r="G33" s="14" t="n">
        <v>6.4239878</v>
      </c>
      <c r="H33" s="15" t="s">
        <v>121</v>
      </c>
    </row>
    <row r="34" customFormat="false" ht="15" hidden="false" customHeight="true" outlineLevel="0" collapsed="false">
      <c r="A34" s="11" t="s">
        <v>122</v>
      </c>
      <c r="B34" s="11" t="s">
        <v>123</v>
      </c>
      <c r="C34" s="11" t="s">
        <v>124</v>
      </c>
      <c r="D34" s="14" t="n">
        <v>4.1037732</v>
      </c>
      <c r="E34" s="14" t="n">
        <v>4.1101779</v>
      </c>
      <c r="F34" s="14" t="n">
        <v>4.1141516</v>
      </c>
      <c r="G34" s="14" t="n">
        <v>4.1164599</v>
      </c>
      <c r="H34" s="15" t="s">
        <v>125</v>
      </c>
    </row>
    <row r="35" customFormat="false" ht="15" hidden="false" customHeight="true" outlineLevel="0" collapsed="false">
      <c r="A35" s="11" t="s">
        <v>126</v>
      </c>
      <c r="B35" s="11" t="s">
        <v>127</v>
      </c>
      <c r="C35" s="11" t="s">
        <v>124</v>
      </c>
      <c r="D35" s="14" t="n">
        <v>4.1038324</v>
      </c>
      <c r="E35" s="14" t="n">
        <v>4.110226</v>
      </c>
      <c r="F35" s="14" t="n">
        <v>4.1141649</v>
      </c>
      <c r="G35" s="14" t="n">
        <v>4.1164741</v>
      </c>
      <c r="H35" s="15" t="s">
        <v>128</v>
      </c>
    </row>
    <row r="36" customFormat="false" ht="15" hidden="false" customHeight="true" outlineLevel="0" collapsed="false">
      <c r="A36" s="16" t="s">
        <v>129</v>
      </c>
      <c r="B36" s="16" t="s">
        <v>130</v>
      </c>
      <c r="C36" s="11" t="s">
        <v>131</v>
      </c>
      <c r="D36" s="17" t="n">
        <f aca="false">IFERROR(D34/($C$6*$C$13),"")</f>
        <v>1.69659314267221</v>
      </c>
      <c r="E36" s="17" t="n">
        <f aca="false">IFERROR(E34/($C$6*$C$13),"")</f>
        <v>1.69924099126698</v>
      </c>
      <c r="F36" s="17" t="n">
        <f aca="false">IFERROR(F34/($C$6*$C$13),"")</f>
        <v>1.70088380919148</v>
      </c>
      <c r="G36" s="17" t="n">
        <f aca="false">IFERROR(G34/($C$6*$C$13),"")</f>
        <v>1.70183811289209</v>
      </c>
      <c r="H36" s="15" t="s">
        <v>132</v>
      </c>
    </row>
    <row r="37" customFormat="false" ht="15" hidden="false" customHeight="true" outlineLevel="0" collapsed="false">
      <c r="A37" s="16" t="s">
        <v>133</v>
      </c>
      <c r="B37" s="16" t="s">
        <v>134</v>
      </c>
      <c r="C37" s="11" t="s">
        <v>80</v>
      </c>
      <c r="D37" s="17" t="n">
        <f aca="false">IFERROR(2*D33/($C$6*D36^2),"")</f>
        <v>0.00628061830603145</v>
      </c>
      <c r="E37" s="17" t="n">
        <f aca="false">IFERROR(2*E33/($C$6*E36^2),"")</f>
        <v>0.00615825382723343</v>
      </c>
      <c r="F37" s="17" t="n">
        <f aca="false">IFERROR(2*F33/($C$6*F36^2),"")</f>
        <v>0.00595067901471778</v>
      </c>
      <c r="G37" s="17" t="n">
        <f aca="false">IFERROR(2*G33/($C$6*G36^2),"")</f>
        <v>0.0059369220786788</v>
      </c>
      <c r="H37" s="15" t="s">
        <v>135</v>
      </c>
    </row>
    <row r="38" customFormat="false" ht="15" hidden="false" customHeight="true" outlineLevel="0" collapsed="false">
      <c r="A38" s="16" t="s">
        <v>136</v>
      </c>
      <c r="B38" s="16" t="s">
        <v>80</v>
      </c>
      <c r="C38" s="11" t="s">
        <v>137</v>
      </c>
      <c r="D38" s="17" t="n">
        <f aca="false">IFERROR(ABS(D34-D35)/D34*100,"")</f>
        <v>0.00144257484794545</v>
      </c>
      <c r="E38" s="17" t="n">
        <f aca="false">IFERROR(ABS(E34-E35)/E34*100,"")</f>
        <v>0.00117026564713621</v>
      </c>
      <c r="F38" s="17" t="n">
        <f aca="false">IFERROR(ABS(F34-F35)/F34*100,"")</f>
        <v>0.000323274426737067</v>
      </c>
      <c r="G38" s="17" t="n">
        <f aca="false">IFERROR(ABS(G34-G35)/G34*100,"")</f>
        <v>0.000344956597290143</v>
      </c>
      <c r="H38" s="15" t="s">
        <v>138</v>
      </c>
    </row>
    <row r="39" customFormat="false" ht="15" hidden="false" customHeight="true" outlineLevel="0" collapsed="false">
      <c r="A39" s="13" t="s">
        <v>139</v>
      </c>
      <c r="B39" s="13"/>
      <c r="C39" s="13"/>
      <c r="D39" s="13"/>
      <c r="E39" s="13"/>
      <c r="F39" s="13"/>
      <c r="G39" s="13"/>
      <c r="H39" s="13"/>
    </row>
    <row r="40" customFormat="false" ht="15" hidden="false" customHeight="true" outlineLevel="0" collapsed="false">
      <c r="A40" s="11" t="s">
        <v>140</v>
      </c>
      <c r="B40" s="11" t="s">
        <v>141</v>
      </c>
      <c r="C40" s="11" t="s">
        <v>142</v>
      </c>
      <c r="D40" s="14" t="n">
        <v>1000</v>
      </c>
      <c r="E40" s="14" t="n">
        <v>1000</v>
      </c>
      <c r="F40" s="14" t="n">
        <v>1000</v>
      </c>
      <c r="G40" s="14" t="n">
        <v>1000</v>
      </c>
      <c r="H40" s="15" t="s">
        <v>143</v>
      </c>
    </row>
    <row r="41" customFormat="false" ht="15" hidden="false" customHeight="true" outlineLevel="0" collapsed="false">
      <c r="A41" s="11" t="s">
        <v>144</v>
      </c>
      <c r="B41" s="11" t="s">
        <v>145</v>
      </c>
      <c r="C41" s="11" t="s">
        <v>146</v>
      </c>
      <c r="D41" s="14" t="n">
        <v>879.09725</v>
      </c>
      <c r="E41" s="14" t="n">
        <v>879.32023</v>
      </c>
      <c r="F41" s="14" t="n">
        <v>879.45348</v>
      </c>
      <c r="G41" s="14" t="n">
        <v>879.53198</v>
      </c>
      <c r="H41" s="15" t="s">
        <v>147</v>
      </c>
    </row>
    <row r="42" customFormat="false" ht="15" hidden="false" customHeight="true" outlineLevel="0" collapsed="false">
      <c r="A42" s="16" t="s">
        <v>148</v>
      </c>
      <c r="B42" s="16" t="s">
        <v>149</v>
      </c>
      <c r="C42" s="11" t="s">
        <v>150</v>
      </c>
      <c r="D42" s="17" t="n">
        <f aca="false">IFERROR(D40/(D27-D28),"")</f>
        <v>1341.74158057161</v>
      </c>
      <c r="E42" s="17" t="n">
        <f aca="false">IFERROR(E40/(E27-E28),"")</f>
        <v>1350.28389718937</v>
      </c>
      <c r="F42" s="17" t="n">
        <f aca="false">IFERROR(F40/(F27-F28),"")</f>
        <v>1323.74062626163</v>
      </c>
      <c r="G42" s="17" t="n">
        <f aca="false">IFERROR(G40/(G27-G28),"")</f>
        <v>1308.13002812478</v>
      </c>
      <c r="H42" s="15" t="s">
        <v>151</v>
      </c>
    </row>
    <row r="43" customFormat="false" ht="15" hidden="false" customHeight="true" outlineLevel="0" collapsed="false">
      <c r="A43" s="16" t="s">
        <v>152</v>
      </c>
      <c r="B43" s="16" t="s">
        <v>153</v>
      </c>
      <c r="C43" s="11" t="s">
        <v>80</v>
      </c>
      <c r="D43" s="17" t="n">
        <f aca="false">IFERROR(D42*$C$5/$C$7,"")</f>
        <v>921.487453878523</v>
      </c>
      <c r="E43" s="17" t="n">
        <f aca="false">IFERROR(E42*$C$5/$C$7,"")</f>
        <v>927.35418537459</v>
      </c>
      <c r="F43" s="17" t="n">
        <f aca="false">IFERROR(F42*$C$5/$C$7,"")</f>
        <v>909.124675684367</v>
      </c>
      <c r="G43" s="17" t="n">
        <f aca="false">IFERROR(G42*$C$5/$C$7,"")</f>
        <v>898.403557296933</v>
      </c>
      <c r="H43" s="15" t="s">
        <v>154</v>
      </c>
    </row>
  </sheetData>
  <mergeCells count="12">
    <mergeCell ref="A1:H1"/>
    <mergeCell ref="A2:H2"/>
    <mergeCell ref="A4:H4"/>
    <mergeCell ref="E5:G5"/>
    <mergeCell ref="E6:G6"/>
    <mergeCell ref="E7:G7"/>
    <mergeCell ref="E8:G8"/>
    <mergeCell ref="E9:G9"/>
    <mergeCell ref="E10:G10"/>
    <mergeCell ref="E11:G11"/>
    <mergeCell ref="E12:G12"/>
    <mergeCell ref="E13:G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3" min="2" style="1" width="14"/>
    <col collapsed="false" customWidth="true" hidden="false" outlineLevel="0" max="4" min="4" style="1" width="22"/>
    <col collapsed="false" customWidth="true" hidden="false" outlineLevel="0" max="6" min="5" style="1" width="10"/>
  </cols>
  <sheetData>
    <row r="1" customFormat="false" ht="17.25" hidden="false" customHeight="true" outlineLevel="0" collapsed="false">
      <c r="A1" s="2" t="s">
        <v>23</v>
      </c>
      <c r="B1" s="2"/>
      <c r="C1" s="2"/>
      <c r="D1" s="2"/>
      <c r="E1" s="2"/>
      <c r="F1" s="2"/>
    </row>
    <row r="2" customFormat="false" ht="30" hidden="false" customHeight="true" outlineLevel="0" collapsed="false">
      <c r="A2" s="3" t="s">
        <v>155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13" t="s">
        <v>156</v>
      </c>
      <c r="B4" s="18"/>
      <c r="C4" s="18"/>
      <c r="D4" s="18"/>
      <c r="E4" s="18"/>
    </row>
    <row r="5" customFormat="false" ht="15" hidden="false" customHeight="true" outlineLevel="0" collapsed="false">
      <c r="A5" s="16" t="s">
        <v>157</v>
      </c>
      <c r="B5" s="16" t="s">
        <v>158</v>
      </c>
      <c r="C5" s="16" t="s">
        <v>159</v>
      </c>
      <c r="D5" s="16" t="s">
        <v>160</v>
      </c>
      <c r="E5" s="19"/>
    </row>
    <row r="6" customFormat="false" ht="15" hidden="false" customHeight="true" outlineLevel="0" collapsed="false">
      <c r="A6" s="11" t="s">
        <v>69</v>
      </c>
      <c r="B6" s="20" t="n">
        <f aca="false">IF('Mesh Run Data'!D17="","",'Mesh Run Data'!D17)</f>
        <v>2718404</v>
      </c>
      <c r="C6" s="21" t="n">
        <f aca="false">IF('Mesh Run Data'!D43="","",'Mesh Run Data'!D43)</f>
        <v>921.487453878523</v>
      </c>
      <c r="D6" s="15" t="s">
        <v>80</v>
      </c>
      <c r="E6" s="19"/>
    </row>
    <row r="7" customFormat="false" ht="15" hidden="false" customHeight="true" outlineLevel="0" collapsed="false">
      <c r="A7" s="11" t="s">
        <v>70</v>
      </c>
      <c r="B7" s="20" t="n">
        <f aca="false">IF('Mesh Run Data'!E17="","",'Mesh Run Data'!E17)</f>
        <v>4888550</v>
      </c>
      <c r="C7" s="21" t="n">
        <f aca="false">IF('Mesh Run Data'!E43="","",'Mesh Run Data'!E43)</f>
        <v>927.35418537459</v>
      </c>
      <c r="D7" s="22" t="n">
        <f aca="false">IFERROR(IF(OR($C$7="",$C$6=""),"",ABS($C$7-$C$6)/$C$7*100),"")</f>
        <v>0.63263115523629</v>
      </c>
      <c r="E7" s="19"/>
    </row>
    <row r="8" customFormat="false" ht="15" hidden="false" customHeight="true" outlineLevel="0" collapsed="false">
      <c r="A8" s="11" t="s">
        <v>71</v>
      </c>
      <c r="B8" s="20" t="n">
        <f aca="false">IF('Mesh Run Data'!F17="","",'Mesh Run Data'!F17)</f>
        <v>8658088</v>
      </c>
      <c r="C8" s="21" t="n">
        <f aca="false">IF('Mesh Run Data'!F43="","",'Mesh Run Data'!F43)</f>
        <v>909.124675684367</v>
      </c>
      <c r="D8" s="22" t="n">
        <f aca="false">IFERROR(IF(OR($C$8="",$C$7=""),"",ABS($C$8-$C$7)/$C$8*100),"")</f>
        <v>2.00517158732945</v>
      </c>
      <c r="E8" s="19"/>
    </row>
    <row r="9" customFormat="false" ht="15" hidden="false" customHeight="true" outlineLevel="0" collapsed="false">
      <c r="A9" s="11" t="s">
        <v>72</v>
      </c>
      <c r="B9" s="20" t="n">
        <f aca="false">IF('Mesh Run Data'!G17="","",'Mesh Run Data'!G17)</f>
        <v>15675184</v>
      </c>
      <c r="C9" s="21" t="n">
        <f aca="false">IF('Mesh Run Data'!G43="","",'Mesh Run Data'!G43)</f>
        <v>898.403557296933</v>
      </c>
      <c r="D9" s="22" t="n">
        <f aca="false">IFERROR(IF(OR($C$9="",$C$8=""),"",ABS($C$9-$C$8)/$C$9*100),"")</f>
        <v>1.19335217457178</v>
      </c>
      <c r="E9" s="19"/>
    </row>
    <row r="10" customFormat="false" ht="15" hidden="false" customHeight="true" outlineLevel="0" collapsed="false">
      <c r="A10" s="16" t="s">
        <v>161</v>
      </c>
      <c r="B10" s="16" t="str">
        <f aca="false">IFERROR(IF(OR($C$9="",$C$8=""),"Mesh 4 not yet entered -- generate and solve it, then re-check",IF(ABS($C$9-$C$8)/$C$9*100&lt;2,"PASS -- Mesh 3 vs Mesh 4 within "&amp;2&amp;"% -- mesh independent","NOT YET -- Mesh 3 vs Mesh 4 exceeds "&amp;2&amp;"% -- refine further")),"Mesh 4 not yet entered -- generate and solve it, then re-check")</f>
        <v>PASS -- Mesh 3 vs Mesh 4 within 2% -- mesh independent</v>
      </c>
      <c r="C10" s="16"/>
      <c r="D10" s="16"/>
      <c r="E10" s="16"/>
    </row>
    <row r="12" customFormat="false" ht="15" hidden="false" customHeight="true" outlineLevel="0" collapsed="false">
      <c r="A12" s="13" t="s">
        <v>162</v>
      </c>
      <c r="B12" s="18"/>
      <c r="C12" s="18"/>
      <c r="D12" s="18"/>
      <c r="E12" s="18"/>
    </row>
    <row r="13" customFormat="false" ht="15" hidden="false" customHeight="true" outlineLevel="0" collapsed="false">
      <c r="A13" s="16" t="s">
        <v>157</v>
      </c>
      <c r="B13" s="16" t="s">
        <v>158</v>
      </c>
      <c r="C13" s="16" t="s">
        <v>159</v>
      </c>
      <c r="D13" s="16" t="s">
        <v>160</v>
      </c>
      <c r="E13" s="19"/>
    </row>
    <row r="14" customFormat="false" ht="15" hidden="false" customHeight="true" outlineLevel="0" collapsed="false">
      <c r="A14" s="11" t="s">
        <v>69</v>
      </c>
      <c r="B14" s="20" t="n">
        <f aca="false">IF('Mesh Run Data'!D17="","",'Mesh Run Data'!D17)</f>
        <v>2718404</v>
      </c>
      <c r="C14" s="21" t="n">
        <f aca="false">IF('Mesh Run Data'!D32="","",'Mesh Run Data'!D32)</f>
        <v>3604.2315</v>
      </c>
      <c r="D14" s="15" t="s">
        <v>80</v>
      </c>
      <c r="E14" s="19"/>
    </row>
    <row r="15" customFormat="false" ht="15" hidden="false" customHeight="true" outlineLevel="0" collapsed="false">
      <c r="A15" s="11" t="s">
        <v>70</v>
      </c>
      <c r="B15" s="20" t="n">
        <f aca="false">IF('Mesh Run Data'!E17="","",'Mesh Run Data'!E17)</f>
        <v>4888550</v>
      </c>
      <c r="C15" s="21" t="n">
        <f aca="false">IF('Mesh Run Data'!E32="","",'Mesh Run Data'!E32)</f>
        <v>3551.4899</v>
      </c>
      <c r="D15" s="22" t="n">
        <f aca="false">IFERROR(IF(OR($C$15="",$C$14=""),"",ABS($C$15-$C$14)/$C$15*100),"")</f>
        <v>1.48505561004129</v>
      </c>
      <c r="E15" s="19"/>
    </row>
    <row r="16" customFormat="false" ht="15" hidden="false" customHeight="true" outlineLevel="0" collapsed="false">
      <c r="A16" s="11" t="s">
        <v>71</v>
      </c>
      <c r="B16" s="20" t="n">
        <f aca="false">IF('Mesh Run Data'!F17="","",'Mesh Run Data'!F17)</f>
        <v>8658088</v>
      </c>
      <c r="C16" s="21" t="n">
        <f aca="false">IF('Mesh Run Data'!F32="","",'Mesh Run Data'!F32)</f>
        <v>3443.4149</v>
      </c>
      <c r="D16" s="22" t="n">
        <f aca="false">IFERROR(IF(OR($C$16="",$C$15=""),"",ABS($C$16-$C$15)/$C$16*100),"")</f>
        <v>3.13859941768852</v>
      </c>
      <c r="E16" s="19"/>
    </row>
    <row r="17" customFormat="false" ht="15" hidden="false" customHeight="true" outlineLevel="0" collapsed="false">
      <c r="A17" s="11" t="s">
        <v>72</v>
      </c>
      <c r="B17" s="20" t="n">
        <f aca="false">IF('Mesh Run Data'!G17="","",'Mesh Run Data'!G17)</f>
        <v>15675184</v>
      </c>
      <c r="C17" s="21" t="n">
        <f aca="false">IF('Mesh Run Data'!G32="","",'Mesh Run Data'!G32)</f>
        <v>3480.9322</v>
      </c>
      <c r="D17" s="22" t="n">
        <f aca="false">IFERROR(IF(OR($C$17="",$C$16=""),"",ABS($C$17-$C$16)/$C$17*100),"")</f>
        <v>1.07779462064788</v>
      </c>
      <c r="E17" s="19"/>
    </row>
    <row r="18" customFormat="false" ht="15" hidden="false" customHeight="true" outlineLevel="0" collapsed="false">
      <c r="A18" s="16" t="s">
        <v>161</v>
      </c>
      <c r="B18" s="16" t="str">
        <f aca="false">IFERROR(IF(OR($C$17="",$C$16=""),"Mesh 4 not yet entered -- generate and solve it, then re-check",IF(ABS($C$17-$C$16)/$C$17*100&lt;2,"PASS -- Mesh 3 vs Mesh 4 within "&amp;2&amp;"% -- mesh independent","NOT YET -- Mesh 3 vs Mesh 4 exceeds "&amp;2&amp;"% -- refine further")),"Mesh 4 not yet entered -- generate and solve it, then re-check")</f>
        <v>PASS -- Mesh 3 vs Mesh 4 within 2% -- mesh independent</v>
      </c>
      <c r="C18" s="16"/>
      <c r="D18" s="16"/>
      <c r="E18" s="16"/>
    </row>
    <row r="20" customFormat="false" ht="30" hidden="false" customHeight="true" outlineLevel="0" collapsed="false">
      <c r="A20" s="23" t="s">
        <v>163</v>
      </c>
      <c r="B20" s="23"/>
      <c r="C20" s="23"/>
      <c r="D20" s="23"/>
      <c r="E20" s="23"/>
      <c r="F20" s="23"/>
    </row>
  </sheetData>
  <mergeCells count="5">
    <mergeCell ref="A1:F1"/>
    <mergeCell ref="A2:F2"/>
    <mergeCell ref="B10:E10"/>
    <mergeCell ref="B18:E18"/>
    <mergeCell ref="A20:F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30"/>
    <col collapsed="false" customWidth="true" hidden="false" outlineLevel="0" max="7" min="6" style="1" width="9"/>
    <col collapsed="false" customWidth="true" hidden="false" outlineLevel="0" max="8" min="8" style="1" width="34"/>
  </cols>
  <sheetData>
    <row r="1" customFormat="false" ht="17.25" hidden="false" customHeight="true" outlineLevel="0" collapsed="false">
      <c r="A1" s="2" t="s">
        <v>25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164</v>
      </c>
      <c r="B2" s="3"/>
      <c r="C2" s="3"/>
      <c r="D2" s="3"/>
      <c r="E2" s="3"/>
      <c r="F2" s="3"/>
      <c r="G2" s="3"/>
      <c r="H2" s="3"/>
    </row>
    <row r="4" customFormat="false" ht="15" hidden="false" customHeight="true" outlineLevel="0" collapsed="false">
      <c r="A4" s="12" t="s">
        <v>66</v>
      </c>
      <c r="B4" s="12" t="s">
        <v>165</v>
      </c>
      <c r="C4" s="12" t="s">
        <v>166</v>
      </c>
      <c r="D4" s="12" t="s">
        <v>167</v>
      </c>
      <c r="E4" s="12" t="s">
        <v>168</v>
      </c>
      <c r="F4" s="12" t="s">
        <v>169</v>
      </c>
      <c r="G4" s="12" t="s">
        <v>170</v>
      </c>
      <c r="H4" s="12" t="s">
        <v>73</v>
      </c>
    </row>
    <row r="5" customFormat="false" ht="15" hidden="false" customHeight="true" outlineLevel="0" collapsed="false">
      <c r="A5" s="13" t="s">
        <v>94</v>
      </c>
      <c r="B5" s="13"/>
      <c r="C5" s="13"/>
      <c r="D5" s="13"/>
      <c r="E5" s="13"/>
      <c r="F5" s="13"/>
      <c r="G5" s="13"/>
      <c r="H5" s="13"/>
    </row>
    <row r="6" customFormat="false" ht="15" hidden="false" customHeight="true" outlineLevel="0" collapsed="false">
      <c r="A6" s="24" t="s">
        <v>96</v>
      </c>
      <c r="B6" s="24" t="s">
        <v>171</v>
      </c>
      <c r="C6" s="24" t="s">
        <v>172</v>
      </c>
      <c r="D6" s="24" t="s">
        <v>173</v>
      </c>
      <c r="E6" s="24" t="s">
        <v>174</v>
      </c>
      <c r="F6" s="24" t="s">
        <v>97</v>
      </c>
      <c r="G6" s="24" t="s">
        <v>175</v>
      </c>
      <c r="H6" s="24" t="s">
        <v>176</v>
      </c>
    </row>
    <row r="7" customFormat="false" ht="15" hidden="false" customHeight="true" outlineLevel="0" collapsed="false">
      <c r="A7" s="24" t="s">
        <v>100</v>
      </c>
      <c r="B7" s="24" t="s">
        <v>171</v>
      </c>
      <c r="C7" s="24" t="s">
        <v>172</v>
      </c>
      <c r="D7" s="24" t="s">
        <v>173</v>
      </c>
      <c r="E7" s="24" t="s">
        <v>177</v>
      </c>
      <c r="F7" s="24" t="s">
        <v>97</v>
      </c>
      <c r="G7" s="24" t="s">
        <v>175</v>
      </c>
      <c r="H7" s="24" t="s">
        <v>178</v>
      </c>
    </row>
    <row r="8" customFormat="false" ht="15" hidden="false" customHeight="true" outlineLevel="0" collapsed="false">
      <c r="A8" s="24" t="s">
        <v>179</v>
      </c>
      <c r="B8" s="24" t="s">
        <v>171</v>
      </c>
      <c r="C8" s="24" t="s">
        <v>180</v>
      </c>
      <c r="D8" s="24" t="s">
        <v>173</v>
      </c>
      <c r="E8" s="24" t="s">
        <v>181</v>
      </c>
      <c r="F8" s="24" t="s">
        <v>97</v>
      </c>
      <c r="G8" s="24" t="s">
        <v>175</v>
      </c>
      <c r="H8" s="24" t="s">
        <v>182</v>
      </c>
    </row>
    <row r="9" customFormat="false" ht="15" hidden="false" customHeight="true" outlineLevel="0" collapsed="false">
      <c r="A9" s="24" t="s">
        <v>183</v>
      </c>
      <c r="B9" s="24" t="s">
        <v>171</v>
      </c>
      <c r="C9" s="24" t="s">
        <v>184</v>
      </c>
      <c r="D9" s="24" t="s">
        <v>173</v>
      </c>
      <c r="E9" s="24" t="s">
        <v>185</v>
      </c>
      <c r="F9" s="24" t="s">
        <v>97</v>
      </c>
      <c r="G9" s="24" t="s">
        <v>186</v>
      </c>
      <c r="H9" s="24" t="s">
        <v>187</v>
      </c>
    </row>
    <row r="10" customFormat="false" ht="15" hidden="false" customHeight="true" outlineLevel="0" collapsed="false">
      <c r="A10" s="24" t="s">
        <v>188</v>
      </c>
      <c r="B10" s="24" t="s">
        <v>171</v>
      </c>
      <c r="C10" s="24" t="s">
        <v>189</v>
      </c>
      <c r="D10" s="24" t="s">
        <v>173</v>
      </c>
      <c r="E10" s="24" t="s">
        <v>190</v>
      </c>
      <c r="F10" s="24" t="s">
        <v>97</v>
      </c>
      <c r="G10" s="24" t="s">
        <v>186</v>
      </c>
      <c r="H10" s="24" t="s">
        <v>191</v>
      </c>
    </row>
    <row r="11" customFormat="false" ht="15" hidden="false" customHeight="true" outlineLevel="0" collapsed="false">
      <c r="A11" s="13" t="s">
        <v>108</v>
      </c>
      <c r="B11" s="13"/>
      <c r="C11" s="13"/>
      <c r="D11" s="13"/>
      <c r="E11" s="13"/>
      <c r="F11" s="13"/>
      <c r="G11" s="13"/>
      <c r="H11" s="13"/>
    </row>
    <row r="12" customFormat="false" ht="15" hidden="false" customHeight="true" outlineLevel="0" collapsed="false">
      <c r="A12" s="24" t="s">
        <v>192</v>
      </c>
      <c r="B12" s="24" t="s">
        <v>171</v>
      </c>
      <c r="C12" s="24" t="s">
        <v>180</v>
      </c>
      <c r="D12" s="24" t="s">
        <v>193</v>
      </c>
      <c r="E12" s="24" t="s">
        <v>194</v>
      </c>
      <c r="F12" s="24" t="s">
        <v>111</v>
      </c>
      <c r="G12" s="24" t="s">
        <v>175</v>
      </c>
      <c r="H12" s="24" t="s">
        <v>195</v>
      </c>
    </row>
    <row r="13" customFormat="false" ht="15" hidden="false" customHeight="true" outlineLevel="0" collapsed="false">
      <c r="A13" s="24" t="s">
        <v>196</v>
      </c>
      <c r="B13" s="24" t="s">
        <v>197</v>
      </c>
      <c r="C13" s="24" t="s">
        <v>198</v>
      </c>
      <c r="D13" s="24" t="s">
        <v>80</v>
      </c>
      <c r="E13" s="24" t="s">
        <v>199</v>
      </c>
      <c r="F13" s="24" t="s">
        <v>124</v>
      </c>
      <c r="G13" s="24" t="s">
        <v>175</v>
      </c>
      <c r="H13" s="24" t="s">
        <v>200</v>
      </c>
    </row>
    <row r="14" customFormat="false" ht="15" hidden="false" customHeight="true" outlineLevel="0" collapsed="false">
      <c r="A14" s="24" t="s">
        <v>201</v>
      </c>
      <c r="B14" s="24" t="s">
        <v>171</v>
      </c>
      <c r="C14" s="24" t="s">
        <v>202</v>
      </c>
      <c r="D14" s="24" t="s">
        <v>80</v>
      </c>
      <c r="E14" s="24" t="s">
        <v>203</v>
      </c>
      <c r="F14" s="24" t="s">
        <v>204</v>
      </c>
      <c r="G14" s="24" t="s">
        <v>186</v>
      </c>
      <c r="H14" s="24" t="s">
        <v>205</v>
      </c>
    </row>
    <row r="15" customFormat="false" ht="15" hidden="false" customHeight="true" outlineLevel="0" collapsed="false">
      <c r="A15" s="24" t="s">
        <v>206</v>
      </c>
      <c r="B15" s="24" t="s">
        <v>171</v>
      </c>
      <c r="C15" s="24" t="s">
        <v>180</v>
      </c>
      <c r="D15" s="24" t="s">
        <v>207</v>
      </c>
      <c r="E15" s="24" t="s">
        <v>181</v>
      </c>
      <c r="F15" s="24" t="s">
        <v>111</v>
      </c>
      <c r="G15" s="24" t="s">
        <v>175</v>
      </c>
      <c r="H15" s="24" t="s">
        <v>208</v>
      </c>
    </row>
    <row r="16" customFormat="false" ht="23.25" hidden="false" customHeight="true" outlineLevel="0" collapsed="false">
      <c r="A16" s="24" t="s">
        <v>209</v>
      </c>
      <c r="B16" s="24" t="s">
        <v>210</v>
      </c>
      <c r="C16" s="24" t="s">
        <v>211</v>
      </c>
      <c r="D16" s="24" t="s">
        <v>80</v>
      </c>
      <c r="E16" s="24" t="s">
        <v>212</v>
      </c>
      <c r="F16" s="24" t="s">
        <v>131</v>
      </c>
      <c r="G16" s="24" t="s">
        <v>186</v>
      </c>
      <c r="H16" s="24" t="s">
        <v>213</v>
      </c>
    </row>
    <row r="17" customFormat="false" ht="15" hidden="false" customHeight="true" outlineLevel="0" collapsed="false">
      <c r="A17" s="13" t="s">
        <v>139</v>
      </c>
      <c r="B17" s="13"/>
      <c r="C17" s="13"/>
      <c r="D17" s="13"/>
      <c r="E17" s="13"/>
      <c r="F17" s="13"/>
      <c r="G17" s="13"/>
      <c r="H17" s="13"/>
    </row>
    <row r="18" customFormat="false" ht="15" hidden="false" customHeight="true" outlineLevel="0" collapsed="false">
      <c r="A18" s="24" t="s">
        <v>214</v>
      </c>
      <c r="B18" s="24" t="s">
        <v>171</v>
      </c>
      <c r="C18" s="24" t="s">
        <v>180</v>
      </c>
      <c r="D18" s="24" t="s">
        <v>215</v>
      </c>
      <c r="E18" s="24" t="s">
        <v>185</v>
      </c>
      <c r="F18" s="24" t="s">
        <v>142</v>
      </c>
      <c r="G18" s="24" t="s">
        <v>186</v>
      </c>
      <c r="H18" s="24" t="s">
        <v>216</v>
      </c>
    </row>
    <row r="19" customFormat="false" ht="15" hidden="false" customHeight="true" outlineLevel="0" collapsed="false">
      <c r="A19" s="24" t="s">
        <v>217</v>
      </c>
      <c r="B19" s="24" t="s">
        <v>218</v>
      </c>
      <c r="C19" s="24" t="s">
        <v>219</v>
      </c>
      <c r="D19" s="24" t="s">
        <v>80</v>
      </c>
      <c r="E19" s="24" t="s">
        <v>220</v>
      </c>
      <c r="F19" s="24" t="s">
        <v>146</v>
      </c>
      <c r="G19" s="24" t="s">
        <v>175</v>
      </c>
      <c r="H19" s="24" t="s">
        <v>221</v>
      </c>
    </row>
    <row r="20" customFormat="false" ht="15" hidden="false" customHeight="true" outlineLevel="0" collapsed="false">
      <c r="A20" s="13" t="s">
        <v>222</v>
      </c>
      <c r="B20" s="13"/>
      <c r="C20" s="13"/>
      <c r="D20" s="13"/>
      <c r="E20" s="13"/>
      <c r="F20" s="13"/>
      <c r="G20" s="13"/>
      <c r="H20" s="13"/>
    </row>
    <row r="21" customFormat="false" ht="15" hidden="false" customHeight="true" outlineLevel="0" collapsed="false">
      <c r="A21" s="24" t="s">
        <v>223</v>
      </c>
      <c r="B21" s="24" t="s">
        <v>157</v>
      </c>
      <c r="C21" s="24" t="s">
        <v>223</v>
      </c>
      <c r="D21" s="24" t="s">
        <v>80</v>
      </c>
      <c r="E21" s="24" t="s">
        <v>224</v>
      </c>
      <c r="F21" s="24" t="s">
        <v>77</v>
      </c>
      <c r="G21" s="24" t="s">
        <v>186</v>
      </c>
      <c r="H21" s="24" t="s">
        <v>225</v>
      </c>
    </row>
    <row r="22" customFormat="false" ht="15" hidden="false" customHeight="true" outlineLevel="0" collapsed="false">
      <c r="A22" s="24" t="s">
        <v>226</v>
      </c>
      <c r="B22" s="24" t="s">
        <v>171</v>
      </c>
      <c r="C22" s="24" t="s">
        <v>227</v>
      </c>
      <c r="D22" s="24" t="s">
        <v>228</v>
      </c>
      <c r="E22" s="24" t="s">
        <v>229</v>
      </c>
      <c r="F22" s="24" t="s">
        <v>80</v>
      </c>
      <c r="G22" s="24" t="s">
        <v>186</v>
      </c>
      <c r="H22" s="24" t="s">
        <v>230</v>
      </c>
    </row>
    <row r="23" customFormat="false" ht="23.25" hidden="false" customHeight="true" outlineLevel="0" collapsed="false">
      <c r="A23" s="24" t="s">
        <v>231</v>
      </c>
      <c r="B23" s="24" t="s">
        <v>232</v>
      </c>
      <c r="C23" s="24" t="s">
        <v>233</v>
      </c>
      <c r="D23" s="24" t="s">
        <v>80</v>
      </c>
      <c r="E23" s="24" t="s">
        <v>80</v>
      </c>
      <c r="F23" s="24" t="s">
        <v>80</v>
      </c>
      <c r="G23" s="24" t="s">
        <v>186</v>
      </c>
      <c r="H23" s="24" t="s">
        <v>234</v>
      </c>
    </row>
  </sheetData>
  <mergeCells count="6">
    <mergeCell ref="A1:H1"/>
    <mergeCell ref="A2:H2"/>
    <mergeCell ref="A5:H5"/>
    <mergeCell ref="A11:H11"/>
    <mergeCell ref="A17:H17"/>
    <mergeCell ref="A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4" min="3" style="1" width="34"/>
    <col collapsed="false" customWidth="true" hidden="false" outlineLevel="0" max="5" min="5" style="1" width="20"/>
  </cols>
  <sheetData>
    <row r="1" customFormat="false" ht="17.25" hidden="false" customHeight="true" outlineLevel="0" collapsed="false">
      <c r="A1" s="2" t="s">
        <v>27</v>
      </c>
      <c r="B1" s="2"/>
      <c r="C1" s="2"/>
      <c r="D1" s="2"/>
      <c r="E1" s="2"/>
    </row>
    <row r="2" customFormat="false" ht="15" hidden="false" customHeight="true" outlineLevel="0" collapsed="false">
      <c r="A2" s="3" t="s">
        <v>235</v>
      </c>
      <c r="B2" s="3"/>
      <c r="C2" s="3"/>
      <c r="D2" s="3"/>
      <c r="E2" s="3"/>
    </row>
    <row r="4" customFormat="false" ht="15" hidden="false" customHeight="true" outlineLevel="0" collapsed="false">
      <c r="A4" s="6" t="s">
        <v>236</v>
      </c>
      <c r="B4" s="6"/>
      <c r="C4" s="6"/>
      <c r="D4" s="6"/>
      <c r="E4" s="6"/>
    </row>
    <row r="5" customFormat="false" ht="15" hidden="false" customHeight="true" outlineLevel="0" collapsed="false">
      <c r="A5" s="12" t="s">
        <v>237</v>
      </c>
      <c r="B5" s="12" t="s">
        <v>238</v>
      </c>
      <c r="C5" s="12" t="s">
        <v>239</v>
      </c>
      <c r="D5" s="12" t="s">
        <v>240</v>
      </c>
    </row>
    <row r="6" customFormat="false" ht="23.25" hidden="false" customHeight="true" outlineLevel="0" collapsed="false">
      <c r="A6" s="24" t="s">
        <v>241</v>
      </c>
      <c r="B6" s="24" t="s">
        <v>242</v>
      </c>
      <c r="C6" s="24" t="s">
        <v>243</v>
      </c>
      <c r="D6" s="24" t="s">
        <v>244</v>
      </c>
    </row>
    <row r="7" customFormat="false" ht="23.25" hidden="false" customHeight="true" outlineLevel="0" collapsed="false">
      <c r="A7" s="24" t="s">
        <v>245</v>
      </c>
      <c r="B7" s="24" t="s">
        <v>246</v>
      </c>
      <c r="C7" s="24" t="s">
        <v>247</v>
      </c>
      <c r="D7" s="24" t="s">
        <v>248</v>
      </c>
    </row>
    <row r="8" customFormat="false" ht="23.25" hidden="false" customHeight="true" outlineLevel="0" collapsed="false">
      <c r="A8" s="24" t="s">
        <v>249</v>
      </c>
      <c r="B8" s="24" t="s">
        <v>250</v>
      </c>
      <c r="C8" s="24" t="s">
        <v>251</v>
      </c>
      <c r="D8" s="24" t="s">
        <v>252</v>
      </c>
    </row>
    <row r="9" customFormat="false" ht="23.25" hidden="false" customHeight="true" outlineLevel="0" collapsed="false">
      <c r="A9" s="24" t="s">
        <v>253</v>
      </c>
      <c r="B9" s="24" t="s">
        <v>254</v>
      </c>
      <c r="C9" s="24" t="s">
        <v>255</v>
      </c>
      <c r="D9" s="24" t="s">
        <v>256</v>
      </c>
    </row>
    <row r="10" customFormat="false" ht="23.25" hidden="false" customHeight="true" outlineLevel="0" collapsed="false">
      <c r="A10" s="24" t="s">
        <v>257</v>
      </c>
      <c r="B10" s="24" t="s">
        <v>258</v>
      </c>
      <c r="C10" s="24" t="s">
        <v>259</v>
      </c>
      <c r="D10" s="24" t="s">
        <v>260</v>
      </c>
    </row>
    <row r="13" customFormat="false" ht="15" hidden="false" customHeight="true" outlineLevel="0" collapsed="false">
      <c r="A13" s="6" t="s">
        <v>261</v>
      </c>
      <c r="B13" s="6"/>
      <c r="C13" s="6"/>
      <c r="D13" s="6"/>
      <c r="E13" s="6"/>
    </row>
    <row r="14" customFormat="false" ht="45.75" hidden="false" customHeight="true" outlineLevel="0" collapsed="false">
      <c r="A14" s="25" t="s">
        <v>262</v>
      </c>
      <c r="B14" s="25"/>
      <c r="C14" s="25"/>
      <c r="D14" s="25"/>
      <c r="E14" s="25"/>
    </row>
    <row r="15" customFormat="false" ht="45.75" hidden="false" customHeight="true" outlineLevel="0" collapsed="false">
      <c r="A15" s="25" t="s">
        <v>263</v>
      </c>
      <c r="B15" s="25"/>
      <c r="C15" s="25"/>
      <c r="D15" s="25"/>
      <c r="E15" s="25"/>
    </row>
    <row r="16" customFormat="false" ht="45.75" hidden="false" customHeight="true" outlineLevel="0" collapsed="false">
      <c r="A16" s="25" t="s">
        <v>264</v>
      </c>
      <c r="B16" s="25"/>
      <c r="C16" s="25"/>
      <c r="D16" s="25"/>
      <c r="E16" s="25"/>
    </row>
    <row r="17" customFormat="false" ht="45.75" hidden="false" customHeight="true" outlineLevel="0" collapsed="false">
      <c r="A17" s="25" t="s">
        <v>265</v>
      </c>
      <c r="B17" s="25"/>
      <c r="C17" s="25"/>
      <c r="D17" s="25"/>
      <c r="E17" s="25"/>
    </row>
  </sheetData>
  <mergeCells count="8">
    <mergeCell ref="A1:E1"/>
    <mergeCell ref="A2:E2"/>
    <mergeCell ref="A4:E4"/>
    <mergeCell ref="A13:E13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2026-08-18T04:44:36Z</dcterms:created>
  <dc:creator>openpyxl</dc:creator>
  <dc:description/>
  <dc:language>en-US</dc:language>
  <cp:lastModifiedBy/>
  <dcterms:modified xsi:type="dcterms:W3CDTF">2026-08-18T09:19:40Z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