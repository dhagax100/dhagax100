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ometry &amp; Mesh Settings" sheetId="2" state="visible" r:id="rId2"/>
    <sheet xmlns:r="http://schemas.openxmlformats.org/officeDocument/2006/relationships" name="Material Properties" sheetId="3" state="visible" r:id="rId3"/>
    <sheet xmlns:r="http://schemas.openxmlformats.org/officeDocument/2006/relationships" name="BCs &amp; Solver Settings" sheetId="4" state="visible" r:id="rId4"/>
    <sheet xmlns:r="http://schemas.openxmlformats.org/officeDocument/2006/relationships" name="Mesh Quality Log" sheetId="5" state="visible" r:id="rId5"/>
    <sheet xmlns:r="http://schemas.openxmlformats.org/officeDocument/2006/relationships" name="Fluent Raw Results" sheetId="6" state="visible" r:id="rId6"/>
    <sheet xmlns:r="http://schemas.openxmlformats.org/officeDocument/2006/relationships" name="Computed Results" sheetId="7" state="visible" r:id="rId7"/>
    <sheet xmlns:r="http://schemas.openxmlformats.org/officeDocument/2006/relationships" name="Mesh Independence Check" sheetId="8" state="visible" r:id="rId8"/>
    <sheet xmlns:r="http://schemas.openxmlformats.org/officeDocument/2006/relationships" name="Production Baseline Ru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  <font>
      <i val="1"/>
      <color rgb="007F7F7F"/>
      <sz val="9"/>
    </font>
    <font>
      <b val="1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Baseline (Smooth Tube) Mesh Independence Study — Full Record</t>
        </is>
      </c>
    </row>
    <row r="3">
      <c r="A3" s="2" t="inlineStr">
        <is>
          <t>Purpose</t>
        </is>
      </c>
    </row>
    <row r="4">
      <c r="A4" s="3" t="inlineStr">
        <is>
          <t>Establish mesh independence for the smooth-tube baseline case, using the same generic worst-case convention as the enhanced (promoter) geometry's GCI study, so the two mesh-independence studies are methodologically comparable.</t>
        </is>
      </c>
    </row>
    <row r="6" ht="30" customHeight="1">
      <c r="A6" s="2" t="inlineStr">
        <is>
          <t>Geometry</t>
        </is>
      </c>
      <c r="B6" s="3" t="inlineStr">
        <is>
          <t>Smooth circular tube, no promoter — dti=66mm, dto=70mm, wall=2mm, L=2m</t>
        </is>
      </c>
    </row>
    <row r="7" ht="30" customHeight="1">
      <c r="A7" s="2" t="inlineStr">
        <is>
          <t>Domain type</t>
        </is>
      </c>
      <c r="B7" s="3" t="inlineStr">
        <is>
          <t>Conjugate (2-body): fluid + solid tube, coupled interface</t>
        </is>
      </c>
    </row>
    <row r="8" ht="30" customHeight="1">
      <c r="A8" s="2" t="inlineStr">
        <is>
          <t>Mesh type</t>
        </is>
      </c>
      <c r="B8" s="3" t="inlineStr">
        <is>
          <t>Unstructured tetrahedral (Patch Conforming) with inflation layers — same method as enhanced geometry</t>
        </is>
      </c>
    </row>
    <row r="9" ht="30" customHeight="1">
      <c r="A9" s="2" t="inlineStr">
        <is>
          <t>Convention matched to</t>
        </is>
      </c>
      <c r="B9" s="3" t="inlineStr">
        <is>
          <t>Enhanced-geometry GCI study (mesh-validation/gci_mesh_plan.md) — same Re, Tin, heat flux type, monitors, threshold</t>
        </is>
      </c>
    </row>
    <row r="10" ht="30" customHeight="1">
      <c r="A10" s="2" t="inlineStr">
        <is>
          <t>Test conditions</t>
        </is>
      </c>
      <c r="B10" s="3" t="inlineStr">
        <is>
          <t>Re=100,000 (highest/worst-case Re in operating range), Tin=300K, uniform q"=1000 W/m² — NOT production conditions</t>
        </is>
      </c>
    </row>
    <row r="11" ht="30" customHeight="1">
      <c r="A11" s="2" t="inlineStr">
        <is>
          <t>Monitors</t>
        </is>
      </c>
      <c r="B11" s="3" t="inlineStr">
        <is>
          <t>Nu and ΔP (matching Mohammed et al. 2022's own simple consecutive-mesh-level method)</t>
        </is>
      </c>
    </row>
    <row r="12" ht="30" customHeight="1">
      <c r="A12" s="2" t="inlineStr">
        <is>
          <t>Threshold</t>
        </is>
      </c>
      <c r="B12" s="3" t="inlineStr">
        <is>
          <t>2% difference between the two finest mesh levels</t>
        </is>
      </c>
    </row>
    <row r="13" ht="30" customHeight="1">
      <c r="A13" s="2" t="inlineStr">
        <is>
          <t>Note on production Baseline run</t>
        </is>
      </c>
      <c r="B13" s="3" t="inlineStr">
        <is>
          <t>A separate real production Baseline run (Re=10,000, Tin=500K, real MCRT UDF heat flux, real Syltherm 800 polynomial properties) was completed 2026-08-19 on this same Mesh 1 geometry/mesh — its data is recorded separately in the 'Production Baseline Run' sheet for later use, once mesh independence is formally established.</t>
        </is>
      </c>
    </row>
    <row r="15">
      <c r="A15" s="2" t="inlineStr">
        <is>
          <t>Related files</t>
        </is>
      </c>
    </row>
    <row r="16">
      <c r="A16" t="inlineStr">
        <is>
          <t>thesis/mesh-validation/gci_mesh_plan.md — enhanced-geometry GCI study + this baseline study's plan</t>
        </is>
      </c>
    </row>
    <row r="17">
      <c r="A17" t="inlineStr">
        <is>
          <t>thesis/reference-data/solver_and_formulas.md — governing equations, property models, heat flux profile</t>
        </is>
      </c>
    </row>
    <row r="18">
      <c r="A18" t="inlineStr">
        <is>
          <t>thesis/mesh-validation/PTSC_GCI_Workbook.xlsx — enhanced-geometry mesh independence data (for comparison)</t>
        </is>
      </c>
    </row>
    <row r="19">
      <c r="A19" t="inlineStr">
        <is>
          <t>thesis/production-runs/PTSC_27Run_Master_Workbook.xlsx — 27-run production tracking</t>
        </is>
      </c>
    </row>
    <row r="21">
      <c r="A21" s="2" t="inlineStr">
        <is>
          <t>Status (2026-08-19)</t>
        </is>
      </c>
    </row>
    <row r="22" ht="45" customHeight="1">
      <c r="A22" s="3" t="inlineStr">
        <is>
          <t>Mesh 4 PROVISIONALLY ADOPTED. Mesh 3-&gt;4: Nu PASS (0.75%), dP FAIL (2.57%, just above 2%). Mesh 5 in progress to confirm. Production work (Baseline run + Run 2+) proceeding on Mesh 4 in the meantime; will revisit only if Mesh 5 shows a material further change.</t>
        </is>
      </c>
    </row>
  </sheetData>
  <mergeCells count="10">
    <mergeCell ref="B12:F12"/>
    <mergeCell ref="B7:F7"/>
    <mergeCell ref="B6:F6"/>
    <mergeCell ref="B10:F10"/>
    <mergeCell ref="B11:F11"/>
    <mergeCell ref="A22:F22"/>
    <mergeCell ref="A4:F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2" customWidth="1" min="3" max="3"/>
  </cols>
  <sheetData>
    <row r="1">
      <c r="A1" s="4" t="inlineStr">
        <is>
          <t>Geometry &amp; Mesh Settings</t>
        </is>
      </c>
    </row>
    <row r="3">
      <c r="A3" s="2" t="inlineStr">
        <is>
          <t>Geometry</t>
        </is>
      </c>
    </row>
    <row r="4">
      <c r="A4" t="inlineStr">
        <is>
          <t>Tube inner diameter, dti</t>
        </is>
      </c>
      <c r="B4" t="n">
        <v>66</v>
      </c>
      <c r="C4" t="inlineStr">
        <is>
          <t>mm</t>
        </is>
      </c>
    </row>
    <row r="5">
      <c r="A5" t="inlineStr">
        <is>
          <t>Tube outer diameter, dto</t>
        </is>
      </c>
      <c r="B5" t="n">
        <v>70</v>
      </c>
      <c r="C5" t="inlineStr">
        <is>
          <t>mm</t>
        </is>
      </c>
    </row>
    <row r="6">
      <c r="A6" t="inlineStr">
        <is>
          <t>Wall thickness</t>
        </is>
      </c>
      <c r="B6" t="n">
        <v>2</v>
      </c>
      <c r="C6" t="inlineStr">
        <is>
          <t>mm</t>
        </is>
      </c>
    </row>
    <row r="7">
      <c r="A7" t="inlineStr">
        <is>
          <t>Length, L</t>
        </is>
      </c>
      <c r="B7" t="n">
        <v>2</v>
      </c>
      <c r="C7" t="inlineStr">
        <is>
          <t>m</t>
        </is>
      </c>
    </row>
    <row r="8">
      <c r="A8" t="inlineStr">
        <is>
          <t>Domain</t>
        </is>
      </c>
      <c r="B8" t="inlineStr">
        <is>
          <t>Fluid (full bore) + Solid (2mm annular tube wall), shared topology, 1 Part / 2 Bodies</t>
        </is>
      </c>
    </row>
    <row r="10">
      <c r="A10" s="2" t="inlineStr">
        <is>
          <t>Global Mesh Settings</t>
        </is>
      </c>
    </row>
    <row r="11">
      <c r="A11" t="inlineStr">
        <is>
          <t>Physics Preference</t>
        </is>
      </c>
      <c r="B11" t="inlineStr">
        <is>
          <t>CFD</t>
        </is>
      </c>
    </row>
    <row r="12">
      <c r="A12" t="inlineStr">
        <is>
          <t>Solver Preference</t>
        </is>
      </c>
      <c r="B12" t="inlineStr">
        <is>
          <t>Fluent</t>
        </is>
      </c>
    </row>
    <row r="13">
      <c r="A13" t="inlineStr">
        <is>
          <t>Element Size — Mesh 1 (Coarsest)</t>
        </is>
      </c>
      <c r="B13" t="inlineStr">
        <is>
          <t>5.0 mm</t>
        </is>
      </c>
    </row>
    <row r="14">
      <c r="A14" t="inlineStr">
        <is>
          <t>Element Size — Mesh 2</t>
        </is>
      </c>
      <c r="B14" t="inlineStr">
        <is>
          <t>3.85 mm (planned)</t>
        </is>
      </c>
    </row>
    <row r="15">
      <c r="A15" t="inlineStr">
        <is>
          <t>Element Size — Mesh 3</t>
        </is>
      </c>
      <c r="B15" t="inlineStr">
        <is>
          <t>2.96 mm (planned)</t>
        </is>
      </c>
    </row>
    <row r="16">
      <c r="A16" t="inlineStr">
        <is>
          <t>Element Size — Mesh 4 (Finest)</t>
        </is>
      </c>
      <c r="B16" t="inlineStr">
        <is>
          <t>2.28 mm (planned, if needed)</t>
        </is>
      </c>
    </row>
    <row r="17">
      <c r="A17" t="inlineStr">
        <is>
          <t>Use Adaptive Sizing</t>
        </is>
      </c>
      <c r="B17" t="inlineStr">
        <is>
          <t>No</t>
        </is>
      </c>
    </row>
    <row r="18">
      <c r="A18" t="inlineStr">
        <is>
          <t>Capture Curvature</t>
        </is>
      </c>
      <c r="B18" t="inlineStr">
        <is>
          <t>Yes</t>
        </is>
      </c>
    </row>
    <row r="19">
      <c r="A19" t="inlineStr">
        <is>
          <t>Curvature Normal Angle</t>
        </is>
      </c>
      <c r="B19" t="inlineStr">
        <is>
          <t>18°</t>
        </is>
      </c>
    </row>
    <row r="20">
      <c r="A20" t="inlineStr">
        <is>
          <t>Smoothing</t>
        </is>
      </c>
      <c r="B20" t="inlineStr">
        <is>
          <t>High</t>
        </is>
      </c>
    </row>
    <row r="21">
      <c r="A21" t="inlineStr">
        <is>
          <t>Transition</t>
        </is>
      </c>
      <c r="B21" t="inlineStr">
        <is>
          <t>Slow</t>
        </is>
      </c>
    </row>
    <row r="22">
      <c r="A22" t="inlineStr">
        <is>
          <t>Method</t>
        </is>
      </c>
      <c r="B22" t="inlineStr">
        <is>
          <t>Tetrahedrons, Patch Conforming Algorithm</t>
        </is>
      </c>
    </row>
    <row r="24">
      <c r="A24" s="2" t="inlineStr">
        <is>
          <t>Inflation Settings</t>
        </is>
      </c>
    </row>
    <row r="25">
      <c r="A25" t="inlineStr">
        <is>
          <t>Scope</t>
        </is>
      </c>
      <c r="B25" t="inlineStr">
        <is>
          <t>Fluid body, boundary = inner_wall (fluid-solid interface)</t>
        </is>
      </c>
    </row>
    <row r="26">
      <c r="A26" t="inlineStr">
        <is>
          <t>Inflation Option</t>
        </is>
      </c>
      <c r="B26" t="inlineStr">
        <is>
          <t>First Layer Thickness</t>
        </is>
      </c>
    </row>
    <row r="27">
      <c r="A27" t="inlineStr">
        <is>
          <t>First Layer Height</t>
        </is>
      </c>
      <c r="B27" t="inlineStr">
        <is>
          <t>0.006959 mm</t>
        </is>
      </c>
    </row>
    <row r="28">
      <c r="A28" t="inlineStr">
        <is>
          <t>Maximum Layers</t>
        </is>
      </c>
      <c r="B28" t="n">
        <v>15</v>
      </c>
    </row>
    <row r="29">
      <c r="A29" t="inlineStr">
        <is>
          <t>Growth Rate</t>
        </is>
      </c>
      <c r="B29" t="n">
        <v>1.2</v>
      </c>
    </row>
    <row r="30">
      <c r="A30" t="inlineStr">
        <is>
          <t>Inflation Algorithm</t>
        </is>
      </c>
      <c r="B30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Material Properties</t>
        </is>
      </c>
    </row>
    <row r="3">
      <c r="A3" s="2" t="inlineStr">
        <is>
          <t>Solid — Steel (tube wall)</t>
        </is>
      </c>
    </row>
    <row r="4">
      <c r="A4" t="inlineStr">
        <is>
          <t>Density</t>
        </is>
      </c>
      <c r="B4" t="n">
        <v>8030</v>
      </c>
      <c r="C4" t="inlineStr">
        <is>
          <t>kg/m³</t>
        </is>
      </c>
      <c r="D4" s="3" t="inlineStr">
        <is>
          <t>Fluent database default</t>
        </is>
      </c>
    </row>
    <row r="5">
      <c r="A5" t="inlineStr">
        <is>
          <t>Specific Heat, Cp</t>
        </is>
      </c>
      <c r="B5" t="n">
        <v>502.48</v>
      </c>
      <c r="C5" t="inlineStr">
        <is>
          <t>J/kg·K</t>
        </is>
      </c>
      <c r="D5" s="3" t="inlineStr">
        <is>
          <t>Fluent database default</t>
        </is>
      </c>
    </row>
    <row r="6">
      <c r="A6" t="inlineStr">
        <is>
          <t>Thermal Conductivity, k</t>
        </is>
      </c>
      <c r="B6" t="n">
        <v>25</v>
      </c>
      <c r="C6" t="inlineStr">
        <is>
          <t>W/m·K</t>
        </is>
      </c>
      <c r="D6" s="3" t="inlineStr">
        <is>
          <t>CORRECTED to match Mohammed et al. (2022)'s own stated tube value: "stainless steel (321H) with a thermal conductivity of 25 W/m·K" — Fluent's generic steel database default (16.27) was wrong.</t>
        </is>
      </c>
    </row>
    <row r="8">
      <c r="A8" s="2" t="inlineStr">
        <is>
          <t>Fluid — Syltherm 800 (used for THIS mesh-independence test)</t>
        </is>
      </c>
    </row>
    <row r="9" ht="30" customHeight="1">
      <c r="A9" s="3" t="inlineStr">
        <is>
          <t>Constant properties — matches the enhanced-geometry mesh test's own convention exactly (that study predates the discovery of the real T-dependent polynomial below). Used for Mesh 1-4 of this baseline study, NOT for the real production Baseline run.</t>
        </is>
      </c>
    </row>
    <row r="11">
      <c r="A11" s="5" t="inlineStr">
        <is>
          <t>Property</t>
        </is>
      </c>
      <c r="B11" s="5" t="inlineStr">
        <is>
          <t>Value</t>
        </is>
      </c>
      <c r="C11" s="5" t="inlineStr">
        <is>
          <t>Unit</t>
        </is>
      </c>
      <c r="D11" s="5" t="inlineStr">
        <is>
          <t>Source</t>
        </is>
      </c>
    </row>
    <row r="12">
      <c r="A12" t="inlineStr">
        <is>
          <t>Density, ρ</t>
        </is>
      </c>
      <c r="B12" t="n">
        <v>747.2</v>
      </c>
      <c r="C12" t="inlineStr">
        <is>
          <t>kg/m³</t>
        </is>
      </c>
      <c r="D12" t="inlineStr">
        <is>
          <t>Table 6, Mohammed et al. (2022) — also = polynomial evaluated at 500K</t>
        </is>
      </c>
    </row>
    <row r="13">
      <c r="A13" t="inlineStr">
        <is>
          <t>Viscosity, μ</t>
        </is>
      </c>
      <c r="B13" t="n">
        <v>0.00084</v>
      </c>
      <c r="C13" t="inlineStr">
        <is>
          <t>Pa·s</t>
        </is>
      </c>
      <c r="D13" t="inlineStr">
        <is>
          <t>Table 6, Mohammed et al. (2022)</t>
        </is>
      </c>
    </row>
    <row r="14">
      <c r="A14" t="inlineStr">
        <is>
          <t>Thermal Conductivity, k</t>
        </is>
      </c>
      <c r="B14" t="n">
        <v>0.0961</v>
      </c>
      <c r="C14" t="inlineStr">
        <is>
          <t>W/m·K</t>
        </is>
      </c>
      <c r="D14" t="inlineStr">
        <is>
          <t>Table 6, Mohammed et al. (2022)</t>
        </is>
      </c>
    </row>
    <row r="15">
      <c r="A15" t="inlineStr">
        <is>
          <t>Specific Heat, Cp</t>
        </is>
      </c>
      <c r="B15" t="n">
        <v>1962</v>
      </c>
      <c r="C15" t="inlineStr">
        <is>
          <t>J/kg·K</t>
        </is>
      </c>
      <c r="D15" t="inlineStr">
        <is>
          <t>Table 6, Mohammed et al. (2022)</t>
        </is>
      </c>
    </row>
    <row r="18">
      <c r="A18" s="2" t="inlineStr">
        <is>
          <t>Fluid — Syltherm 800 REAL TEMPERATURE-DEPENDENT POLYNOMIAL (reference — used in the separate real production Baseline run, not in this mesh test)</t>
        </is>
      </c>
    </row>
    <row r="19" ht="60" customHeight="1">
      <c r="A19" s="3" t="inlineStr">
        <is>
          <t>Read directly from Table 5 of the real Mohammed et al. (2022) paper (their ref [66], a Dow Syltherm-800 datasheet fit). Form: ψ = a + bT + cT² + dT³ + eT⁴, T in Kelvin. Verified self-consistent: evaluating at T=500K reproduces Table 6's constants above closely. Valid range demonstrated by the paper's own use: 400–650 K — do not extrapolate far outside this (the actual production Baseline run's T_wall reached ~654K, just past this bound — flagged as a documented minor extrapolation, not a blocker).</t>
        </is>
      </c>
    </row>
    <row r="21">
      <c r="A21" s="5" t="inlineStr">
        <is>
          <t>Property</t>
        </is>
      </c>
      <c r="B21" s="5" t="inlineStr">
        <is>
          <t>Unit</t>
        </is>
      </c>
      <c r="C21" s="5" t="inlineStr">
        <is>
          <t>a (C0)</t>
        </is>
      </c>
      <c r="D21" s="5" t="inlineStr">
        <is>
          <t>b (C1)</t>
        </is>
      </c>
      <c r="E21" s="5" t="inlineStr">
        <is>
          <t>c (C2)</t>
        </is>
      </c>
      <c r="F21" s="5" t="inlineStr">
        <is>
          <t>d (C3)</t>
        </is>
      </c>
      <c r="G21" s="5" t="inlineStr">
        <is>
          <t>e (C4)</t>
        </is>
      </c>
    </row>
    <row r="22">
      <c r="A22" t="inlineStr">
        <is>
          <t>Density</t>
        </is>
      </c>
      <c r="B22" t="inlineStr">
        <is>
          <t>kg/m³</t>
        </is>
      </c>
      <c r="C22" t="n">
        <v>1105.7</v>
      </c>
      <c r="D22" t="n">
        <v>-0.41535</v>
      </c>
      <c r="E22" t="n">
        <v>-0.00060616</v>
      </c>
    </row>
    <row r="23">
      <c r="A23" t="inlineStr">
        <is>
          <t>Viscosity</t>
        </is>
      </c>
      <c r="B23" t="inlineStr">
        <is>
          <t>Pa·s</t>
        </is>
      </c>
      <c r="C23" t="n">
        <v>0.084866</v>
      </c>
      <c r="D23" t="n">
        <v>-0.00055412</v>
      </c>
      <c r="E23" t="n">
        <v>1.3882e-06</v>
      </c>
      <c r="F23" t="n">
        <v>-1.566e-09</v>
      </c>
      <c r="G23" t="n">
        <v>6.672e-13</v>
      </c>
    </row>
    <row r="24">
      <c r="A24" t="inlineStr">
        <is>
          <t>Thermal Conductivity</t>
        </is>
      </c>
      <c r="B24" t="inlineStr">
        <is>
          <t>W/m·K</t>
        </is>
      </c>
      <c r="C24" t="n">
        <v>0.19002</v>
      </c>
      <c r="D24" t="n">
        <v>-0.00018752</v>
      </c>
      <c r="E24" t="n">
        <v>-5.7534e-10</v>
      </c>
    </row>
    <row r="25">
      <c r="A25" t="inlineStr">
        <is>
          <t>Specific Heat, Cp</t>
        </is>
      </c>
      <c r="B25" t="inlineStr">
        <is>
          <t>J/kg·K</t>
        </is>
      </c>
      <c r="C25" t="n">
        <v>1107.8</v>
      </c>
      <c r="D25" t="n">
        <v>1.708</v>
      </c>
    </row>
  </sheetData>
  <mergeCells count="3">
    <mergeCell ref="A19:G19"/>
    <mergeCell ref="A9:E9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Boundary Conditions &amp; Solver Settings — Mesh-Independence Test Convention</t>
        </is>
      </c>
    </row>
    <row r="3">
      <c r="A3" s="2" t="inlineStr">
        <is>
          <t>Inlet (velocity-inlet)</t>
        </is>
      </c>
    </row>
    <row r="4">
      <c r="A4" t="inlineStr">
        <is>
          <t>Velocity Magnitude, u_m</t>
        </is>
      </c>
      <c r="B4" t="inlineStr">
        <is>
          <t>1.70</t>
        </is>
      </c>
      <c r="C4" t="inlineStr">
        <is>
          <t>m/s</t>
        </is>
      </c>
      <c r="D4" t="inlineStr">
        <is>
          <t>Re·μ/(ρ·d_ri) = 100,000×0.00084/(747.2×0.066)</t>
        </is>
      </c>
    </row>
    <row r="5">
      <c r="A5" t="inlineStr">
        <is>
          <t>Temperature, Tin</t>
        </is>
      </c>
      <c r="B5" t="n">
        <v>300</v>
      </c>
      <c r="C5" t="inlineStr">
        <is>
          <t>K</t>
        </is>
      </c>
      <c r="D5" t="inlineStr">
        <is>
          <t>Generic mesh-test condition (NOT production 500K)</t>
        </is>
      </c>
    </row>
    <row r="6">
      <c r="A6" t="inlineStr">
        <is>
          <t>Turbulence Specification</t>
        </is>
      </c>
      <c r="B6" t="inlineStr">
        <is>
          <t>Intensity and Hydraulic Diameter</t>
        </is>
      </c>
    </row>
    <row r="7">
      <c r="A7" t="inlineStr">
        <is>
          <t>Turbulent Intensity</t>
        </is>
      </c>
      <c r="B7" t="n">
        <v>5</v>
      </c>
      <c r="C7" t="inlineStr">
        <is>
          <t>%</t>
        </is>
      </c>
    </row>
    <row r="8">
      <c r="A8" t="inlineStr">
        <is>
          <t>Hydraulic Diameter</t>
        </is>
      </c>
      <c r="B8" t="n">
        <v>0.066</v>
      </c>
      <c r="C8" t="inlineStr">
        <is>
          <t>m</t>
        </is>
      </c>
      <c r="D8" t="inlineStr">
        <is>
          <t>Full bore diameter (smooth tube — no annulus/core split)</t>
        </is>
      </c>
    </row>
    <row r="9">
      <c r="A9" t="inlineStr">
        <is>
          <t>Resulting Re (check)</t>
        </is>
      </c>
      <c r="B9" t="inlineStr">
        <is>
          <t>≈ 99,800</t>
        </is>
      </c>
      <c r="D9" t="inlineStr">
        <is>
          <t>Matches enhanced-geometry Coarse level's own logged Re≈99,600</t>
        </is>
      </c>
    </row>
    <row r="11">
      <c r="A11" s="2" t="inlineStr">
        <is>
          <t>Outlet (pressure-outlet)</t>
        </is>
      </c>
    </row>
    <row r="12">
      <c r="A12" t="inlineStr">
        <is>
          <t>Gauge Pressure</t>
        </is>
      </c>
      <c r="B12" t="n">
        <v>0</v>
      </c>
      <c r="C12" t="inlineStr">
        <is>
          <t>Pa</t>
        </is>
      </c>
    </row>
    <row r="14">
      <c r="A14" s="2" t="inlineStr">
        <is>
          <t>Wall: outer_wall (solid exterior, sun-facing)</t>
        </is>
      </c>
    </row>
    <row r="15">
      <c r="A15" t="inlineStr">
        <is>
          <t>Thermal Condition</t>
        </is>
      </c>
      <c r="B15" t="inlineStr">
        <is>
          <t>Heat Flux</t>
        </is>
      </c>
    </row>
    <row r="16">
      <c r="A16" t="inlineStr">
        <is>
          <t>Heat Flux</t>
        </is>
      </c>
      <c r="B16" t="inlineStr">
        <is>
          <t>1000 (uniform, constant) — NOT the real MCRT UDF used for production runs</t>
        </is>
      </c>
    </row>
    <row r="17">
      <c r="A17" t="inlineStr">
        <is>
          <t>Material</t>
        </is>
      </c>
      <c r="B17" t="inlineStr">
        <is>
          <t>steel</t>
        </is>
      </c>
    </row>
    <row r="19">
      <c r="A19" s="2" t="inlineStr">
        <is>
          <t>Wall: inner_wall / inner_wall-shadow (fluid-solid coupled interface)</t>
        </is>
      </c>
    </row>
    <row r="20">
      <c r="A20" t="inlineStr">
        <is>
          <t>Thermal Condition</t>
        </is>
      </c>
      <c r="B20" s="3" t="inlineStr">
        <is>
          <t>Coupled</t>
        </is>
      </c>
    </row>
    <row r="21" ht="45" customHeight="1">
      <c r="A21" t="inlineStr">
        <is>
          <t>Note</t>
        </is>
      </c>
      <c r="B21" s="3" t="inlineStr">
        <is>
          <t>MUST be Coupled, not Heat Flux — an early setup error set this to Heat Flux=0 (i.e. fully insulating), which blocked all heat from crossing into the fluid and caused solid-zone temperature runaway. Caught and fixed before this data was recorded.</t>
        </is>
      </c>
    </row>
    <row r="23">
      <c r="A23" s="2" t="inlineStr">
        <is>
          <t>Wall: wall-tube (solid end caps)</t>
        </is>
      </c>
    </row>
    <row r="24">
      <c r="A24" t="inlineStr">
        <is>
          <t>Thermal Condition</t>
        </is>
      </c>
      <c r="B24" t="inlineStr">
        <is>
          <t>Default (adiabatic) — no BC applied, negligible area</t>
        </is>
      </c>
    </row>
    <row r="26">
      <c r="A26" s="2" t="inlineStr">
        <is>
          <t>Cell Zones</t>
        </is>
      </c>
    </row>
    <row r="27">
      <c r="A27" t="inlineStr">
        <is>
          <t>Fluid zone</t>
        </is>
      </c>
      <c r="B27" t="inlineStr">
        <is>
          <t>syltherm800_oil</t>
        </is>
      </c>
    </row>
    <row r="28">
      <c r="A28" t="inlineStr">
        <is>
          <t>Solid zone (tube)</t>
        </is>
      </c>
      <c r="B28" t="inlineStr">
        <is>
          <t>steel</t>
        </is>
      </c>
    </row>
    <row r="30">
      <c r="A30" s="2" t="inlineStr">
        <is>
          <t>Solver / Models</t>
        </is>
      </c>
    </row>
    <row r="31">
      <c r="A31" t="inlineStr">
        <is>
          <t>Solver Type</t>
        </is>
      </c>
      <c r="B31" t="inlineStr">
        <is>
          <t>Pressure-Based, Steady</t>
        </is>
      </c>
    </row>
    <row r="32">
      <c r="A32" t="inlineStr">
        <is>
          <t>Viscous Model</t>
        </is>
      </c>
      <c r="B32" t="inlineStr">
        <is>
          <t>Realizable k-epsilon (2 eqn)</t>
        </is>
      </c>
    </row>
    <row r="33">
      <c r="A33" t="inlineStr">
        <is>
          <t>Near-Wall Treatment</t>
        </is>
      </c>
      <c r="B33" t="inlineStr">
        <is>
          <t>Enhanced Wall Treatment</t>
        </is>
      </c>
    </row>
    <row r="34">
      <c r="A34" t="inlineStr">
        <is>
          <t>Pressure-Velocity Coupling</t>
        </is>
      </c>
      <c r="B34" t="inlineStr">
        <is>
          <t>SIMPLE</t>
        </is>
      </c>
    </row>
    <row r="35">
      <c r="A35" t="inlineStr">
        <is>
          <t>Pressure Discretization</t>
        </is>
      </c>
      <c r="B35" t="inlineStr">
        <is>
          <t>PRESTO!</t>
        </is>
      </c>
    </row>
    <row r="36">
      <c r="A36" t="inlineStr">
        <is>
          <t>Momentum Discretization</t>
        </is>
      </c>
      <c r="B36" t="inlineStr">
        <is>
          <t>Second Order Upwind</t>
        </is>
      </c>
    </row>
    <row r="37">
      <c r="A37" t="inlineStr">
        <is>
          <t>Turbulent KE / Turbulent Dissipation Rate</t>
        </is>
      </c>
      <c r="B37" t="inlineStr">
        <is>
          <t>Second Order Upwind (both)</t>
        </is>
      </c>
    </row>
    <row r="38">
      <c r="A38" t="inlineStr">
        <is>
          <t>Energy Discretization</t>
        </is>
      </c>
      <c r="B38" t="inlineStr">
        <is>
          <t>Second Order Upwind</t>
        </is>
      </c>
    </row>
    <row r="39">
      <c r="A39" t="inlineStr">
        <is>
          <t>Pseudo Time Method</t>
        </is>
      </c>
      <c r="B39" t="inlineStr">
        <is>
          <t>Local Time Step (stabilizes localized heat-flux stiffness)</t>
        </is>
      </c>
    </row>
    <row r="41">
      <c r="A41" s="2" t="inlineStr">
        <is>
          <t>Residual Convergence Criteria (Absolute)</t>
        </is>
      </c>
    </row>
    <row r="42">
      <c r="A42" t="inlineStr">
        <is>
          <t>Continuity</t>
        </is>
      </c>
      <c r="B42" t="inlineStr">
        <is>
          <t>1e-06</t>
        </is>
      </c>
    </row>
    <row r="43">
      <c r="A43" t="inlineStr">
        <is>
          <t>x/y/z-velocity</t>
        </is>
      </c>
      <c r="B43" t="inlineStr">
        <is>
          <t>1e-08 each</t>
        </is>
      </c>
    </row>
    <row r="44">
      <c r="A44" t="inlineStr">
        <is>
          <t>Energy</t>
        </is>
      </c>
      <c r="B44" t="inlineStr">
        <is>
          <t>1e-08</t>
        </is>
      </c>
    </row>
    <row r="45">
      <c r="A45" t="inlineStr">
        <is>
          <t>k, epsilon</t>
        </is>
      </c>
      <c r="B45" t="inlineStr">
        <is>
          <t>1e-08 each</t>
        </is>
      </c>
    </row>
    <row r="47">
      <c r="A47" s="2" t="inlineStr">
        <is>
          <t>Solution Limits</t>
        </is>
      </c>
    </row>
    <row r="48">
      <c r="A48" t="inlineStr">
        <is>
          <t>Minimum Static Temperature</t>
        </is>
      </c>
      <c r="B48" t="inlineStr">
        <is>
          <t>250 K</t>
        </is>
      </c>
    </row>
    <row r="49">
      <c r="A49" t="inlineStr">
        <is>
          <t>Maximum Static Temperature</t>
        </is>
      </c>
      <c r="B49" t="inlineStr">
        <is>
          <t>700 K</t>
        </is>
      </c>
    </row>
    <row r="50" ht="30" customHeight="1">
      <c r="A50" t="inlineStr">
        <is>
          <t>Note</t>
        </is>
      </c>
      <c r="B50" s="3" t="inlineStr">
        <is>
          <t>Default (1 / 5000K) allowed runaway solid-zone temperature to hit the ceiling in 137,568 cells before this fix.</t>
        </is>
      </c>
    </row>
  </sheetData>
  <mergeCells count="3">
    <mergeCell ref="B50:E50"/>
    <mergeCell ref="B21:E21"/>
    <mergeCell ref="B20:E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  <col width="70" customWidth="1" min="7" max="7"/>
  </cols>
  <sheetData>
    <row r="1">
      <c r="A1" s="4" t="inlineStr">
        <is>
          <t>Mesh Quality Log — Baseline Smooth Tube</t>
        </is>
      </c>
    </row>
    <row r="3">
      <c r="A3" s="5" t="inlineStr">
        <is>
          <t>Level</t>
        </is>
      </c>
      <c r="B3" s="5" t="inlineStr">
        <is>
          <t>Element Size (mm)</t>
        </is>
      </c>
      <c r="C3" s="5" t="inlineStr">
        <is>
          <t>Elements</t>
        </is>
      </c>
      <c r="D3" s="5" t="inlineStr">
        <is>
          <t>Nodes</t>
        </is>
      </c>
      <c r="E3" s="5" t="inlineStr">
        <is>
          <t>Max Skewness</t>
        </is>
      </c>
      <c r="F3" s="5" t="inlineStr">
        <is>
          <t>Min Orthogonal Quality</t>
        </is>
      </c>
      <c r="G3" s="5" t="inlineStr">
        <is>
          <t>Notes</t>
        </is>
      </c>
    </row>
    <row r="4" ht="45" customHeight="1">
      <c r="A4" s="6" t="inlineStr">
        <is>
          <t>Mesh 1 (Coarsest)</t>
        </is>
      </c>
      <c r="B4" s="6" t="n">
        <v>5</v>
      </c>
      <c r="C4" s="6" t="n">
        <v>1023406</v>
      </c>
      <c r="D4" s="6" t="n">
        <v>385377</v>
      </c>
      <c r="E4" s="6" t="n">
        <v>0.84354</v>
      </c>
      <c r="F4" s="6" t="n">
        <v>0.15646</v>
      </c>
      <c r="G4" s="7" t="inlineStr">
        <is>
          <t>Final corrected geometry (fluid body rebuilt via direct Extrude + Form New Part after Fill degenerated to a surface body). Supersedes two earlier invalid attempts (724,846 elements — pre-topology-fix; 1,009,884 elements — earlier regeneration pass).</t>
        </is>
      </c>
    </row>
    <row r="5" ht="15" customHeight="1">
      <c r="A5" s="6" t="inlineStr">
        <is>
          <t>Mesh 2</t>
        </is>
      </c>
      <c r="B5" s="6" t="n">
        <v>3.85</v>
      </c>
      <c r="C5" s="6" t="n">
        <v>1762070</v>
      </c>
      <c r="D5" s="6" t="n">
        <v>650727</v>
      </c>
      <c r="E5" s="6" t="n">
        <v>0.84496</v>
      </c>
      <c r="F5" s="6" t="n">
        <v>0.15504</v>
      </c>
      <c r="G5" s="7" t="inlineStr">
        <is>
          <t>Recorded 2026-08-19, same convention as Mesh 1 (Re=100,000, Tin=300K, uniform q"=1000 W/m2)</t>
        </is>
      </c>
    </row>
    <row r="6" ht="15" customHeight="1">
      <c r="A6" s="6" t="inlineStr">
        <is>
          <t>Mesh 3</t>
        </is>
      </c>
      <c r="B6" s="6" t="n">
        <v>2.96</v>
      </c>
      <c r="C6" s="6" t="n">
        <v>3093142</v>
      </c>
      <c r="D6" s="6" t="n">
        <v>1117290</v>
      </c>
      <c r="E6" s="6" t="n">
        <v>0.84995</v>
      </c>
      <c r="F6" s="6" t="n">
        <v>0.15005</v>
      </c>
      <c r="G6" s="7" t="inlineStr">
        <is>
          <t>Recorded 2026-08-19, same convention as Mesh 1/2</t>
        </is>
      </c>
    </row>
    <row r="7" ht="15" customHeight="1">
      <c r="A7" s="6" t="inlineStr">
        <is>
          <t>Mesh 4 (Finest)</t>
        </is>
      </c>
      <c r="B7" s="6" t="n">
        <v>2.28</v>
      </c>
      <c r="C7" s="6" t="n">
        <v>5825667</v>
      </c>
      <c r="D7" s="6" t="n">
        <v>1986806</v>
      </c>
      <c r="E7" s="6" t="n">
        <v>0.79995</v>
      </c>
      <c r="F7" s="6" t="n">
        <v>0.20005</v>
      </c>
      <c r="G7" s="7" t="inlineStr">
        <is>
          <t>Recorded 2026-08-19, same convention as Mesh 1/2/3</t>
        </is>
      </c>
    </row>
    <row r="8">
      <c r="A8" t="inlineStr">
        <is>
          <t>Mesh 5 (extra level, ΔP not yet converged at Mesh 4)</t>
        </is>
      </c>
      <c r="B8" t="n">
        <v>1.75</v>
      </c>
    </row>
    <row r="9">
      <c r="A9" s="8" t="inlineStr">
        <is>
          <t>Quality targets: Min Orthogonal Quality &gt; 0.01 (flag if lower); Max Skewness &lt; 0.95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9" t="inlineStr">
        <is>
          <t>Fluent Raw Results — Mesh-Independence Test Runs (Re=100,000, Tin=300K, uniform q"=1000 W/m²)</t>
        </is>
      </c>
    </row>
    <row r="3">
      <c r="A3" s="5" t="inlineStr">
        <is>
          <t>Level</t>
        </is>
      </c>
      <c r="B3" s="5" t="inlineStr">
        <is>
          <t>Q_dot_total (W)</t>
        </is>
      </c>
      <c r="C3" s="5" t="inlineStr">
        <is>
          <t>mdot_in (kg/s)</t>
        </is>
      </c>
      <c r="D3" s="5" t="inlineStr">
        <is>
          <t>mdot_out (kg/s)</t>
        </is>
      </c>
      <c r="E3" s="5" t="inlineStr">
        <is>
          <t>p_in (Pa)</t>
        </is>
      </c>
      <c r="F3" s="5" t="inlineStr">
        <is>
          <t>p_out (Pa)</t>
        </is>
      </c>
      <c r="G3" s="5" t="inlineStr">
        <is>
          <t>T_in (K)</t>
        </is>
      </c>
      <c r="H3" s="5" t="inlineStr">
        <is>
          <t>T_out (K)</t>
        </is>
      </c>
      <c r="I3" s="5" t="inlineStr">
        <is>
          <t>T_wall (K)</t>
        </is>
      </c>
      <c r="J3" s="5" t="inlineStr">
        <is>
          <t>tau_w (Pa)</t>
        </is>
      </c>
      <c r="K3" s="5" t="inlineStr">
        <is>
          <t>wall_heat_flux_avg (W/m²)</t>
        </is>
      </c>
      <c r="L3" s="5" t="inlineStr">
        <is>
          <t>y+ avg</t>
        </is>
      </c>
      <c r="M3" s="5" t="inlineStr">
        <is>
          <t>y+ max</t>
        </is>
      </c>
      <c r="N3" s="5" t="inlineStr">
        <is>
          <t>Mass balance error (%)</t>
        </is>
      </c>
    </row>
    <row r="4">
      <c r="A4" t="inlineStr">
        <is>
          <t>Mesh 1</t>
        </is>
      </c>
      <c r="B4" t="n">
        <v>452.16611</v>
      </c>
      <c r="C4" t="n">
        <v>4.3287479</v>
      </c>
      <c r="D4" t="n">
        <v>-4.3287474</v>
      </c>
      <c r="E4" t="n">
        <v>670.90516</v>
      </c>
      <c r="F4" t="n">
        <v>0</v>
      </c>
      <c r="G4" t="n">
        <v>300</v>
      </c>
      <c r="H4" t="n">
        <v>300.05324</v>
      </c>
      <c r="I4" t="n">
        <v>300.86659</v>
      </c>
      <c r="J4" t="n">
        <v>5.9079351</v>
      </c>
      <c r="K4" t="n">
        <v>1000</v>
      </c>
      <c r="L4" t="n">
        <v>0.26817709</v>
      </c>
      <c r="M4" t="n">
        <v>2.1277173</v>
      </c>
      <c r="N4" t="n">
        <v>1.2e-05</v>
      </c>
    </row>
    <row r="5">
      <c r="A5" t="inlineStr">
        <is>
          <t>Mesh 2</t>
        </is>
      </c>
      <c r="B5" t="n">
        <v>452.23211</v>
      </c>
      <c r="C5" t="n">
        <v>4.3359388</v>
      </c>
      <c r="D5" t="n">
        <v>-4.3359386</v>
      </c>
      <c r="E5" t="n">
        <v>640.89111</v>
      </c>
      <c r="F5" t="n">
        <v>0</v>
      </c>
      <c r="G5" t="n">
        <v>300</v>
      </c>
      <c r="H5" t="n">
        <v>300.05315</v>
      </c>
      <c r="I5" t="n">
        <v>300.86581</v>
      </c>
      <c r="J5" t="n">
        <v>6.0110973</v>
      </c>
      <c r="K5" t="n">
        <v>1000</v>
      </c>
      <c r="L5" t="n">
        <v>0.27043937</v>
      </c>
      <c r="M5" t="n">
        <v>2.1768591</v>
      </c>
      <c r="N5" t="n">
        <v>5e-06</v>
      </c>
    </row>
    <row r="6">
      <c r="A6" t="inlineStr">
        <is>
          <t>Mesh 3</t>
        </is>
      </c>
      <c r="B6" t="n">
        <v>452.29636</v>
      </c>
      <c r="C6" t="n">
        <v>4.3399049</v>
      </c>
      <c r="D6" t="n">
        <v>-4.3399046</v>
      </c>
      <c r="E6" t="n">
        <v>598.08387</v>
      </c>
      <c r="F6" t="n">
        <v>0</v>
      </c>
      <c r="G6" t="n">
        <v>300</v>
      </c>
      <c r="H6" t="n">
        <v>300.05311</v>
      </c>
      <c r="I6" t="n">
        <v>300.85761</v>
      </c>
      <c r="J6" t="n">
        <v>5.9357157</v>
      </c>
      <c r="K6" t="n">
        <v>1000</v>
      </c>
      <c r="L6" t="n">
        <v>0.27342043</v>
      </c>
      <c r="M6" t="n">
        <v>1.4947357</v>
      </c>
      <c r="N6" t="n">
        <v>7e-06</v>
      </c>
    </row>
    <row r="7">
      <c r="A7" t="inlineStr">
        <is>
          <t>Mesh 4</t>
        </is>
      </c>
      <c r="B7" t="n">
        <v>452.33431</v>
      </c>
      <c r="C7" t="n">
        <v>4.3422859</v>
      </c>
      <c r="D7" t="n">
        <v>-4.3422856</v>
      </c>
      <c r="E7" t="n">
        <v>583.1092599999999</v>
      </c>
      <c r="F7" t="n">
        <v>0</v>
      </c>
      <c r="G7" t="n">
        <v>300</v>
      </c>
      <c r="H7" t="n">
        <v>300.05309</v>
      </c>
      <c r="I7" t="n">
        <v>300.86379</v>
      </c>
      <c r="J7" t="n">
        <v>6.0018683</v>
      </c>
      <c r="K7" t="n">
        <v>1000</v>
      </c>
      <c r="L7" t="n">
        <v>0.27537764</v>
      </c>
      <c r="M7" t="n">
        <v>1.5131235</v>
      </c>
      <c r="N7" t="n">
        <v>7e-06</v>
      </c>
    </row>
    <row r="8">
      <c r="A8" t="inlineStr">
        <is>
          <t>Mesh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9" t="inlineStr">
        <is>
          <t>Computed / Derived Results — formulas per solver_and_formulas.md</t>
        </is>
      </c>
    </row>
    <row r="3">
      <c r="A3" s="2" t="inlineStr">
        <is>
          <t>Constants used</t>
        </is>
      </c>
    </row>
    <row r="4">
      <c r="A4" t="inlineStr">
        <is>
          <t>d_ri (tube inner diameter)</t>
        </is>
      </c>
      <c r="B4" t="n">
        <v>0.066</v>
      </c>
      <c r="C4" t="inlineStr">
        <is>
          <t>m</t>
        </is>
      </c>
    </row>
    <row r="5">
      <c r="A5" t="inlineStr">
        <is>
          <t>A_total (full bore area)</t>
        </is>
      </c>
      <c r="B5">
        <f>PI()*B4^2/4</f>
        <v/>
      </c>
      <c r="C5" t="inlineStr">
        <is>
          <t>m²</t>
        </is>
      </c>
    </row>
    <row r="6">
      <c r="A6" t="inlineStr">
        <is>
          <t>L (length)</t>
        </is>
      </c>
      <c r="B6" t="n">
        <v>2</v>
      </c>
      <c r="C6" t="inlineStr">
        <is>
          <t>m</t>
        </is>
      </c>
    </row>
    <row r="7">
      <c r="A7" t="inlineStr">
        <is>
          <t>rho (constant)</t>
        </is>
      </c>
      <c r="B7" t="n">
        <v>747.2</v>
      </c>
      <c r="C7" t="inlineStr">
        <is>
          <t>kg/m³</t>
        </is>
      </c>
    </row>
    <row r="8">
      <c r="A8" t="inlineStr">
        <is>
          <t>mu (constant)</t>
        </is>
      </c>
      <c r="B8" t="n">
        <v>0.00084</v>
      </c>
      <c r="C8" t="inlineStr">
        <is>
          <t>Pa·s</t>
        </is>
      </c>
    </row>
    <row r="9">
      <c r="A9" t="inlineStr">
        <is>
          <t>k_f (constant)</t>
        </is>
      </c>
      <c r="B9" t="n">
        <v>0.0961</v>
      </c>
      <c r="C9" t="inlineStr">
        <is>
          <t>W/m·K</t>
        </is>
      </c>
    </row>
    <row r="10">
      <c r="A10" t="inlineStr">
        <is>
          <t>Cp (constant)</t>
        </is>
      </c>
      <c r="B10" t="n">
        <v>1962</v>
      </c>
      <c r="C10" t="inlineStr">
        <is>
          <t>J/kg·K</t>
        </is>
      </c>
    </row>
    <row r="12">
      <c r="A12" s="5" t="inlineStr">
        <is>
          <t>Level</t>
        </is>
      </c>
      <c r="B12" s="5" t="inlineStr">
        <is>
          <t>u_m (m/s)</t>
        </is>
      </c>
      <c r="C12" s="5" t="inlineStr">
        <is>
          <t>Re (check)</t>
        </is>
      </c>
      <c r="D12" s="5" t="inlineStr">
        <is>
          <t>T_b = (Tin+Tout)/2 (K)</t>
        </is>
      </c>
      <c r="E12" s="5" t="inlineStr">
        <is>
          <t>h = q"/(T_wall-T_b) (W/m²K)</t>
        </is>
      </c>
      <c r="F12" s="5" t="inlineStr">
        <is>
          <t>Nu = h*d_ri/k_f</t>
        </is>
      </c>
      <c r="G12" s="5" t="inlineStr">
        <is>
          <t>f = 2*tau_w/(rho*u_m^2)</t>
        </is>
      </c>
      <c r="H12" s="5" t="inlineStr">
        <is>
          <t>dP formula check (4f·L/d·ρu²/2) (Pa)</t>
        </is>
      </c>
      <c r="I12" s="5" t="inlineStr">
        <is>
          <t>dP actual (p_in-p_out) (Pa)</t>
        </is>
      </c>
      <c r="J12" s="5" t="inlineStr">
        <is>
          <t>dP %diff</t>
        </is>
      </c>
      <c r="K12" s="5" t="inlineStr">
        <is>
          <t>Mass balance err (%)</t>
        </is>
      </c>
    </row>
    <row r="13">
      <c r="A13" t="inlineStr">
        <is>
          <t>Mesh 1</t>
        </is>
      </c>
      <c r="B13">
        <f>IF('Fluent Raw Results'!C4="","",'Fluent Raw Results'!C4/($B$7*$B$5))</f>
        <v/>
      </c>
      <c r="C13">
        <f>IF('Fluent Raw Results'!C4="","",$B$7*B13*$B$4/$B$8)</f>
        <v/>
      </c>
      <c r="D13">
        <f>IF('Fluent Raw Results'!G4="","",('Fluent Raw Results'!G4+'Fluent Raw Results'!H4)/2)</f>
        <v/>
      </c>
      <c r="E13">
        <f>IF(OR('Fluent Raw Results'!I4="",D13=""),"",'Fluent Raw Results'!K4/('Fluent Raw Results'!I4-D13))</f>
        <v/>
      </c>
      <c r="F13">
        <f>IF(E13="","",E13*$B$4/$B$9)</f>
        <v/>
      </c>
      <c r="G13">
        <f>IF(OR('Fluent Raw Results'!J4="",B13=""),"",2*'Fluent Raw Results'!J4/($B$7*B13^2))</f>
        <v/>
      </c>
      <c r="H13">
        <f>IF(G13="","",4*G13*($B$6/$B$4)*($B$7*B13^2/2))</f>
        <v/>
      </c>
      <c r="I13">
        <f>IF('Fluent Raw Results'!E4="","",'Fluent Raw Results'!E4-'Fluent Raw Results'!F4)</f>
        <v/>
      </c>
      <c r="J13">
        <f>IF(OR(H13="",I13=""),"",ABS(H13-I13)/I13*100)</f>
        <v/>
      </c>
      <c r="K13">
        <f>IF('Fluent Raw Results'!N4="","",'Fluent Raw Results'!N4)</f>
        <v/>
      </c>
    </row>
    <row r="14">
      <c r="A14" t="inlineStr">
        <is>
          <t>Mesh 2</t>
        </is>
      </c>
      <c r="B14">
        <f>IF('Fluent Raw Results'!C5="","",'Fluent Raw Results'!C5/($B$7*$B$5))</f>
        <v/>
      </c>
      <c r="C14">
        <f>IF('Fluent Raw Results'!C5="","",$B$7*B14*$B$4/$B$8)</f>
        <v/>
      </c>
      <c r="D14">
        <f>IF('Fluent Raw Results'!G5="","",('Fluent Raw Results'!G5+'Fluent Raw Results'!H5)/2)</f>
        <v/>
      </c>
      <c r="E14">
        <f>IF(OR('Fluent Raw Results'!I5="",D14=""),"",'Fluent Raw Results'!K5/('Fluent Raw Results'!I5-D14))</f>
        <v/>
      </c>
      <c r="F14">
        <f>IF(E14="","",E14*$B$4/$B$9)</f>
        <v/>
      </c>
      <c r="G14">
        <f>IF(OR('Fluent Raw Results'!J5="",B14=""),"",2*'Fluent Raw Results'!J5/($B$7*B14^2))</f>
        <v/>
      </c>
      <c r="H14">
        <f>IF(G14="","",4*G14*($B$6/$B$4)*($B$7*B14^2/2))</f>
        <v/>
      </c>
      <c r="I14">
        <f>IF('Fluent Raw Results'!E5="","",'Fluent Raw Results'!E5-'Fluent Raw Results'!F5)</f>
        <v/>
      </c>
      <c r="J14">
        <f>IF(OR(H14="",I14=""),"",ABS(H14-I14)/I14*100)</f>
        <v/>
      </c>
      <c r="K14">
        <f>IF('Fluent Raw Results'!N5="","",'Fluent Raw Results'!N5)</f>
        <v/>
      </c>
    </row>
    <row r="15">
      <c r="A15" t="inlineStr">
        <is>
          <t>Mesh 3</t>
        </is>
      </c>
      <c r="B15">
        <f>IF('Fluent Raw Results'!C6="","",'Fluent Raw Results'!C6/($B$7*$B$5))</f>
        <v/>
      </c>
      <c r="C15">
        <f>IF('Fluent Raw Results'!C6="","",$B$7*B15*$B$4/$B$8)</f>
        <v/>
      </c>
      <c r="D15">
        <f>IF('Fluent Raw Results'!G6="","",('Fluent Raw Results'!G6+'Fluent Raw Results'!H6)/2)</f>
        <v/>
      </c>
      <c r="E15">
        <f>IF(OR('Fluent Raw Results'!I6="",D15=""),"",'Fluent Raw Results'!K6/('Fluent Raw Results'!I6-D15))</f>
        <v/>
      </c>
      <c r="F15">
        <f>IF(E15="","",E15*$B$4/$B$9)</f>
        <v/>
      </c>
      <c r="G15">
        <f>IF(OR('Fluent Raw Results'!J6="",B15=""),"",2*'Fluent Raw Results'!J6/($B$7*B15^2))</f>
        <v/>
      </c>
      <c r="H15">
        <f>IF(G15="","",4*G15*($B$6/$B$4)*($B$7*B15^2/2))</f>
        <v/>
      </c>
      <c r="I15">
        <f>IF('Fluent Raw Results'!E6="","",'Fluent Raw Results'!E6-'Fluent Raw Results'!F6)</f>
        <v/>
      </c>
      <c r="J15">
        <f>IF(OR(H15="",I15=""),"",ABS(H15-I15)/I15*100)</f>
        <v/>
      </c>
      <c r="K15">
        <f>IF('Fluent Raw Results'!N6="","",'Fluent Raw Results'!N6)</f>
        <v/>
      </c>
    </row>
    <row r="16">
      <c r="A16" t="inlineStr">
        <is>
          <t>Mesh 4</t>
        </is>
      </c>
      <c r="B16">
        <f>IF('Fluent Raw Results'!C7="","",'Fluent Raw Results'!C7/($B$7*$B$5))</f>
        <v/>
      </c>
      <c r="C16">
        <f>IF('Fluent Raw Results'!C7="","",$B$7*B16*$B$4/$B$8)</f>
        <v/>
      </c>
      <c r="D16">
        <f>IF('Fluent Raw Results'!G7="","",('Fluent Raw Results'!G7+'Fluent Raw Results'!H7)/2)</f>
        <v/>
      </c>
      <c r="E16">
        <f>IF(OR('Fluent Raw Results'!I7="",D16=""),"",'Fluent Raw Results'!K7/('Fluent Raw Results'!I7-D16))</f>
        <v/>
      </c>
      <c r="F16">
        <f>IF(E16="","",E16*$B$4/$B$9)</f>
        <v/>
      </c>
      <c r="G16">
        <f>IF(OR('Fluent Raw Results'!J7="",B16=""),"",2*'Fluent Raw Results'!J7/($B$7*B16^2))</f>
        <v/>
      </c>
      <c r="H16">
        <f>IF(G16="","",4*G16*($B$6/$B$4)*($B$7*B16^2/2))</f>
        <v/>
      </c>
      <c r="I16">
        <f>IF('Fluent Raw Results'!E7="","",'Fluent Raw Results'!E7-'Fluent Raw Results'!F7)</f>
        <v/>
      </c>
      <c r="J16">
        <f>IF(OR(H16="",I16=""),"",ABS(H16-I16)/I16*100)</f>
        <v/>
      </c>
      <c r="K16">
        <f>IF('Fluent Raw Results'!N7="","",'Fluent Raw Results'!N7)</f>
        <v/>
      </c>
    </row>
    <row r="17">
      <c r="A17" t="inlineStr">
        <is>
          <t>Mesh 5</t>
        </is>
      </c>
      <c r="B17">
        <f>IF('Fluent Raw Results'!C8="","",'Fluent Raw Results'!C8/($B$7*$B$5))</f>
        <v/>
      </c>
      <c r="C17">
        <f>IF('Fluent Raw Results'!C8="","",$B$7*B17*$B$4/$B$8)</f>
        <v/>
      </c>
      <c r="D17">
        <f>IF('Fluent Raw Results'!G8="","",('Fluent Raw Results'!G8+'Fluent Raw Results'!H8)/2)</f>
        <v/>
      </c>
      <c r="E17">
        <f>IF(OR('Fluent Raw Results'!I8="",D17=""),"",'Fluent Raw Results'!K8/('Fluent Raw Results'!I8-D17))</f>
        <v/>
      </c>
      <c r="F17">
        <f>IF(E17="","",E17*$B$4/$B$9)</f>
        <v/>
      </c>
      <c r="G17">
        <f>IF(OR('Fluent Raw Results'!J8="",B17=""),"",2*'Fluent Raw Results'!J8/($B$7*B17^2))</f>
        <v/>
      </c>
      <c r="H17">
        <f>IF(G17="","",4*G17*($B$6/$B$4)*($B$7*B17^2/2))</f>
        <v/>
      </c>
      <c r="I17">
        <f>IF('Fluent Raw Results'!E8="","",'Fluent Raw Results'!E8-'Fluent Raw Results'!F8)</f>
        <v/>
      </c>
      <c r="J17">
        <f>IF(OR(H17="",I17=""),"",ABS(H17-I17)/I17*100)</f>
        <v/>
      </c>
      <c r="K17">
        <f>IF('Fluent Raw Results'!N8="","",'Fluent Raw Results'!N8)</f>
        <v/>
      </c>
    </row>
    <row r="18" ht="45" customHeight="1">
      <c r="A18" s="10" t="inlineStr">
        <is>
          <t>Note: the ΔP formula check uses ΔP=4f·(L/d)·(ρu²/2), the Darcy-Weisbach form consistent with f being the Fanning friction factor (f=2τw/ρu²) as defined in solver_and_formulas.md. A small (~5-7%) gap vs. the directly-measured ΔP is expected and has been seen consistently across this project's other runs — flagged as a known minor formula-convention item, not a data error.</t>
        </is>
      </c>
    </row>
  </sheetData>
  <mergeCells count="1">
    <mergeCell ref="A18:F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22" customWidth="1" min="8" max="8"/>
  </cols>
  <sheetData>
    <row r="1">
      <c r="A1" s="9" t="inlineStr">
        <is>
          <t>Mesh Independence Check — simple consecutive-level % method (Mohammed et al. 2022 practice)</t>
        </is>
      </c>
    </row>
    <row r="3">
      <c r="A3" s="8" t="inlineStr">
        <is>
          <t>Compares the two FINEST mesh levels only. Threshold: 2%. Monitors: Nu, ΔP (actual, measured).</t>
        </is>
      </c>
    </row>
    <row r="5">
      <c r="A5" s="5" t="inlineStr">
        <is>
          <t>Comparison</t>
        </is>
      </c>
      <c r="B5" s="5" t="inlineStr">
        <is>
          <t>Nu (coarser)</t>
        </is>
      </c>
      <c r="C5" s="5" t="inlineStr">
        <is>
          <t>Nu (finer)</t>
        </is>
      </c>
      <c r="D5" s="5" t="inlineStr">
        <is>
          <t>Nu %diff</t>
        </is>
      </c>
      <c r="E5" s="5" t="inlineStr">
        <is>
          <t>dP (coarser)</t>
        </is>
      </c>
      <c r="F5" s="5" t="inlineStr">
        <is>
          <t>dP (finer)</t>
        </is>
      </c>
      <c r="G5" s="5" t="inlineStr">
        <is>
          <t>dP %diff</t>
        </is>
      </c>
      <c r="H5" s="5" t="inlineStr">
        <is>
          <t>Verdict</t>
        </is>
      </c>
    </row>
    <row r="6">
      <c r="A6" t="inlineStr">
        <is>
          <t>Mesh 1 -&gt; Mesh 2</t>
        </is>
      </c>
      <c r="B6">
        <f>'Computed Results'!F13</f>
        <v/>
      </c>
      <c r="C6">
        <f>'Computed Results'!F14</f>
        <v/>
      </c>
      <c r="D6">
        <f>IF(OR(B6="",C6=""),"",ABS(C6-B6)/C6*100)</f>
        <v/>
      </c>
      <c r="E6">
        <f>'Computed Results'!I13</f>
        <v/>
      </c>
      <c r="F6">
        <f>'Computed Results'!I14</f>
        <v/>
      </c>
      <c r="G6">
        <f>IF(OR(E6="",F6=""),"",ABS(F6-E6)/F6*100)</f>
        <v/>
      </c>
      <c r="H6">
        <f>IF(OR(D6="",G6=""),"pending",IF(AND(D6&lt;2,G6&lt;2),"PASS","FAIL — needs finer mesh"))</f>
        <v/>
      </c>
    </row>
    <row r="7">
      <c r="A7" t="inlineStr">
        <is>
          <t>Mesh 2 -&gt; Mesh 3</t>
        </is>
      </c>
      <c r="B7">
        <f>'Computed Results'!F14</f>
        <v/>
      </c>
      <c r="C7">
        <f>'Computed Results'!F15</f>
        <v/>
      </c>
      <c r="D7">
        <f>IF(OR(B7="",C7=""),"",ABS(C7-B7)/C7*100)</f>
        <v/>
      </c>
      <c r="E7">
        <f>'Computed Results'!I14</f>
        <v/>
      </c>
      <c r="F7">
        <f>'Computed Results'!I15</f>
        <v/>
      </c>
      <c r="G7">
        <f>IF(OR(E7="",F7=""),"",ABS(F7-E7)/F7*100)</f>
        <v/>
      </c>
      <c r="H7">
        <f>IF(OR(D7="",G7=""),"pending",IF(AND(D7&lt;2,G7&lt;2),"PASS","FAIL — needs finer mesh"))</f>
        <v/>
      </c>
    </row>
    <row r="8">
      <c r="A8" t="inlineStr">
        <is>
          <t>Mesh 3 -&gt; Mesh 4</t>
        </is>
      </c>
      <c r="B8">
        <f>'Computed Results'!F15</f>
        <v/>
      </c>
      <c r="C8">
        <f>'Computed Results'!F16</f>
        <v/>
      </c>
      <c r="D8">
        <f>IF(OR(B8="",C8=""),"",ABS(C8-B8)/C8*100)</f>
        <v/>
      </c>
      <c r="E8">
        <f>'Computed Results'!I15</f>
        <v/>
      </c>
      <c r="F8">
        <f>'Computed Results'!I16</f>
        <v/>
      </c>
      <c r="G8">
        <f>IF(OR(E8="",F8=""),"",ABS(F8-E8)/F8*100)</f>
        <v/>
      </c>
      <c r="H8">
        <f>IF(OR(D8="",G8=""),"pending",IF(AND(D8&lt;2,G8&lt;2),"PASS","FAIL — needs finer mesh"))</f>
        <v/>
      </c>
    </row>
    <row r="9">
      <c r="A9" t="inlineStr">
        <is>
          <t>Mesh 4 -&gt; Mesh 5</t>
        </is>
      </c>
      <c r="B9">
        <f>'Computed Results'!F16</f>
        <v/>
      </c>
      <c r="C9">
        <f>'Computed Results'!F17</f>
        <v/>
      </c>
      <c r="D9">
        <f>IF(OR(B9="",C9=""),"",ABS(C9-B9)/C9*100)</f>
        <v/>
      </c>
      <c r="E9">
        <f>'Computed Results'!I16</f>
        <v/>
      </c>
      <c r="F9">
        <f>'Computed Results'!I17</f>
        <v/>
      </c>
      <c r="G9">
        <f>IF(OR(E9="",F9=""),"",ABS(F9-E9)/F9*100)</f>
        <v/>
      </c>
      <c r="H9">
        <f>IF(OR(D9="",G9=""),"pending",IF(AND(D9&lt;2,G9&lt;2),"PASS","FAIL — needs finer mesh"))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2" customWidth="1" min="11" max="11"/>
    <col width="12" customWidth="1" min="12" max="12"/>
  </cols>
  <sheetData>
    <row r="1">
      <c r="A1" s="9" t="inlineStr">
        <is>
          <t>Production Baseline Run — Real Conditions (kept separate from the mesh-independence test)</t>
        </is>
      </c>
    </row>
    <row r="3" ht="45" customHeight="1">
      <c r="A3" s="11" t="inlineStr">
        <is>
          <t>SUPERSEDED: this data was run on Mesh 1 geometry, before mesh independence was checked. Now that Mesh 4 is (provisionally) adopted, this run must be redone on Mesh 4 before use in the 27-run master workbook. Kept below for reference only.</t>
        </is>
      </c>
    </row>
    <row r="5">
      <c r="A5" s="2" t="inlineStr">
        <is>
          <t>Conditions</t>
        </is>
      </c>
    </row>
    <row r="6">
      <c r="A6" t="inlineStr">
        <is>
          <t>Re</t>
        </is>
      </c>
      <c r="B6" t="n">
        <v>10000</v>
      </c>
    </row>
    <row r="7">
      <c r="A7" t="inlineStr">
        <is>
          <t>Tin</t>
        </is>
      </c>
      <c r="B7" t="inlineStr">
        <is>
          <t>500 K</t>
        </is>
      </c>
    </row>
    <row r="8">
      <c r="A8" t="inlineStr">
        <is>
          <t>Heat flux</t>
        </is>
      </c>
      <c r="B8" t="inlineStr">
        <is>
          <t>Real MCRT UDF (mohammed_flux_profile) — non-uniform, Table 3 of Mohammed et al. (2022)</t>
        </is>
      </c>
    </row>
    <row r="9">
      <c r="A9" t="inlineStr">
        <is>
          <t>Fluid properties</t>
        </is>
      </c>
      <c r="B9" t="inlineStr">
        <is>
          <t>Real temperature-dependent polynomial (Table 5, Mohammed et al. 2022)</t>
        </is>
      </c>
    </row>
    <row r="10">
      <c r="A10" t="inlineStr">
        <is>
          <t>Solid material</t>
        </is>
      </c>
      <c r="B10" t="inlineStr">
        <is>
          <t>Steel, k=25 W/m·K</t>
        </is>
      </c>
    </row>
    <row r="11">
      <c r="A11" t="inlineStr">
        <is>
          <t>u_m (inlet velocity)</t>
        </is>
      </c>
      <c r="B11" t="inlineStr">
        <is>
          <t>0.1636 m/s</t>
        </is>
      </c>
    </row>
    <row r="13">
      <c r="A13" s="2" t="inlineStr">
        <is>
          <t>Raw Fluent Results</t>
        </is>
      </c>
    </row>
    <row r="14">
      <c r="A14" s="5" t="inlineStr">
        <is>
          <t>Q_dot_total (W)</t>
        </is>
      </c>
      <c r="B14" s="5" t="inlineStr">
        <is>
          <t>mdot_in (kg/s)</t>
        </is>
      </c>
      <c r="C14" s="5" t="inlineStr">
        <is>
          <t>mdot_out (kg/s)</t>
        </is>
      </c>
      <c r="D14" s="5" t="inlineStr">
        <is>
          <t>p_in (Pa)</t>
        </is>
      </c>
      <c r="E14" s="5" t="inlineStr">
        <is>
          <t>p_out (Pa)</t>
        </is>
      </c>
      <c r="F14" s="5" t="inlineStr">
        <is>
          <t>T_in (K)</t>
        </is>
      </c>
      <c r="G14" s="5" t="inlineStr">
        <is>
          <t>T_out (K)</t>
        </is>
      </c>
      <c r="H14" s="5" t="inlineStr">
        <is>
          <t>T_wall (K)</t>
        </is>
      </c>
      <c r="I14" s="5" t="inlineStr">
        <is>
          <t>tau_w (Pa)</t>
        </is>
      </c>
      <c r="J14" s="5" t="inlineStr">
        <is>
          <t>wall_heat_flux_avg (W/m²)</t>
        </is>
      </c>
      <c r="K14" s="5" t="inlineStr">
        <is>
          <t>y+ avg</t>
        </is>
      </c>
      <c r="L14" s="5" t="inlineStr">
        <is>
          <t>y+ max</t>
        </is>
      </c>
    </row>
    <row r="15">
      <c r="A15" t="n">
        <v>16101.78</v>
      </c>
      <c r="B15" t="n">
        <v>0.41617966</v>
      </c>
      <c r="C15" t="n">
        <v>-0.41617609</v>
      </c>
      <c r="D15" t="n">
        <v>13.87821</v>
      </c>
      <c r="E15" t="n">
        <v>0</v>
      </c>
      <c r="F15" t="n">
        <v>500</v>
      </c>
      <c r="G15" t="n">
        <v>519.27201</v>
      </c>
      <c r="H15" t="n">
        <v>654.29579</v>
      </c>
      <c r="I15" t="n">
        <v>0.10602777</v>
      </c>
      <c r="J15" t="n">
        <v>35610.321</v>
      </c>
      <c r="K15" t="n">
        <v>0.075709744</v>
      </c>
      <c r="L15" t="n">
        <v>0.77119762</v>
      </c>
    </row>
    <row r="17">
      <c r="A17" s="2" t="inlineStr">
        <is>
          <t>Sanity checks</t>
        </is>
      </c>
    </row>
    <row r="18">
      <c r="A18" t="inlineStr">
        <is>
          <t>Mass balance error</t>
        </is>
      </c>
      <c r="B18" t="inlineStr">
        <is>
          <t>0.000858 %</t>
        </is>
      </c>
      <c r="C18" s="3" t="inlineStr">
        <is>
          <t>Excellent — essentially perfect</t>
        </is>
      </c>
    </row>
    <row r="19">
      <c r="A19" t="inlineStr">
        <is>
          <t>Energy balance (dT expected vs observed)</t>
        </is>
      </c>
      <c r="B19" t="inlineStr">
        <is>
          <t>~19.6-19.7K expected (Q/(mdot*Cp)) vs 19.27K observed</t>
        </is>
      </c>
      <c r="C19" s="3" t="inlineStr">
        <is>
          <t>Within ~2%, consistent</t>
        </is>
      </c>
    </row>
    <row r="20">
      <c r="A20" t="inlineStr">
        <is>
          <t>T_wall vs polynomial valid range (400-650K)</t>
        </is>
      </c>
      <c r="B20" t="inlineStr">
        <is>
          <t>654.3K — ~4K past the paper's demonstrated upper bound</t>
        </is>
      </c>
      <c r="C20" s="3" t="inlineStr">
        <is>
          <t>Minor extrapolation, documented, not a blocker</t>
        </is>
      </c>
    </row>
  </sheetData>
  <mergeCells count="4">
    <mergeCell ref="C19:F19"/>
    <mergeCell ref="C18:F18"/>
    <mergeCell ref="A3:H3"/>
    <mergeCell ref="C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2026-08-19T07:51:02Z</dcterms:created>
  <dcterms:modified xmlns:dcterms="http://purl.org/dc/terms/" xmlns:xsi="http://www.w3.org/2001/XMLSchema-instance" xsi:type="dcterms:W3CDTF">2026-08-19T11:44:03Z</dcterms:modified>
</cp:coreProperties>
</file>