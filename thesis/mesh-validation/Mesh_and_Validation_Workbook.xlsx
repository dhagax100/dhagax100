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Results Calculator" sheetId="6" state="visible" r:id="rId8"/>
    <sheet name="Correlation Validation" sheetId="7" state="visible" r:id="rId9"/>
    <sheet name="GCI Mesh Independence" sheetId="8" state="visible" r:id="rId10"/>
    <sheet name="Dudley D1 Validation" sheetId="9" state="visible" r:id="rId11"/>
    <sheet name="L27 Run 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<sst xmlns="http://schemas.openxmlformats.org/spreadsheetml/2006/main" count="297" uniqueCount="234">
  <si>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</si>
  <si>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</si>
  <si>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</si>
  <si>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</si>
  <si>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</si>
  <si>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</si>
  <si>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</si>
  <si>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</si>
  <si>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</si>
  <si>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</si>
  <si>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</si>
  <si>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</si>
  <si>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</si>
  <si>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</si>
  <si>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</si>
  <si>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</si>
  <si>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</si>
  <si>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</si>
  <si>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</si>
  <si>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</si>
  <si>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</si>
  <si>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</si>
  <si>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</si>
  <si>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</si>
  <si>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</si>
  <si>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</si>
  <si>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</si>
  <si>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</si>
  <si>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</si>
  <si>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</si>
  <si>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</si>
  <si>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</si>
  <si>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</si>
  <si>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</si>
  <si>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</si>
  <si>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</si>
  <si>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</si>
  <si>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</si>
  <si>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</si>
  <si>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</si>
  <si>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</si>
  <si>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</si>
  <si>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</si>
  <si>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</si>
  <si>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</si>
  <si>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</si>
  <si>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</si>
  <si>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</si>
  <si>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</si>
  <si>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</si>
  <si>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</si>
  <si>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</si>
  <si>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</si>
  <si>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</si>
  <si>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</si>
  <si>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</si>
  <si>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</si>
  <si>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</si>
  <si>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</si>
  <si>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</si>
  <si>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</si>
  <si>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</si>
  <si>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</si>
  <si>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</si>
  <si>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</si>
  <si>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</si>
  <si>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</si>
  <si>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</si>
  <si>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</si>
  <si>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</si>
  <si>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</si>
  <si>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</si>
  <si>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</si>
  <si>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</si>
  <si>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</si>
  <si>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</si>
  <si>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</si>
  <si>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</si>
  <si>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</si>
  <si>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</si>
  <si>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</si>
  <si>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</si>
  <si>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</si>
  <si>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</si>
  <si>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</si>
  <si>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</si>
  <si>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</si>
  <si>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</si>
  <si>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</si>
  <si>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</si>
  <si>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</si>
  <si>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</si>
  <si>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</si>
  <si>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</si>
  <si>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</si>
  <si>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</si>
  <si>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</si>
  <si>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</si>
  <si>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</si>
  <si>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</si>
  <si>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</si>
  <si>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</si>
  <si>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</si>
  <si>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</si>
  <si>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</si>
  <si>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</si>
  <si>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</si>
  <si>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</si>
  <si>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</si>
  <si>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</si>
  <si>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Core-radial cell size -- needs one assumption circumferential/axial didn't: how big is the O-grid centre square?</t>
  </si>
  <si>
    <t xml:space="preserve">Core block half-width, as a fraction of tube radius (editable -- common O-grid practice is 0.35-0.45, not a strict rule)</t>
  </si>
  <si>
    <t xml:space="preserve">Tube radius (mm)</t>
  </si>
  <si>
    <t xml:space="preserve">Core block half-width (mm) = fraction × radius</t>
  </si>
  <si>
    <t xml:space="preserve">Radial (wedge) span (mm) = radius - core half-width</t>
  </si>
  <si>
    <t xml:space="preserve">Approx. core-radial cell size (mm) = wedge span / N_core</t>
  </si>
  <si>
    <t xml:space="preserve"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</si>
  <si>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</si>
  <si>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</si>
  <si>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</si>
  <si>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</si>
  <si>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</si>
  <si>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Results Calculator -- one place for h, Nu, dP, f</t>
  </si>
  <si>
    <t xml:space="preserve">One row per Fluent run. Paste T_out, T_wall, p_in, p_out here from your Report Definitions (Compute button) -- V, Tb, h, Nu, dP and f compute automatically. The GCI sheet and Correlation Validation sheet both read their Nu/f from this table, so you only enter raw numbers once, here.</t>
  </si>
  <si>
    <t xml:space="preserve">Run</t>
  </si>
  <si>
    <t xml:space="preserve">q''
(W/m2)</t>
  </si>
  <si>
    <t xml:space="preserve">T_out (K)
PASTE</t>
  </si>
  <si>
    <t xml:space="preserve">T_wall (K)
PASTE</t>
  </si>
  <si>
    <t xml:space="preserve">p_in (Pa)
PASTE</t>
  </si>
  <si>
    <t xml:space="preserve">p_out (Pa)
PASTE</t>
  </si>
  <si>
    <t xml:space="preserve">V
(m/s)</t>
  </si>
  <si>
    <t xml:space="preserve">Tb
(K)</t>
  </si>
  <si>
    <t xml:space="preserve">h
(W/m2K)</t>
  </si>
  <si>
    <t xml:space="preserve">Nu</t>
  </si>
  <si>
    <t xml:space="preserve">dP
(Pa)</t>
  </si>
  <si>
    <t xml:space="preserve">f</t>
  </si>
  <si>
    <t xml:space="preserve">GCI -- Fine mesh (Re=100,000 design point)</t>
  </si>
  <si>
    <t xml:space="preserve">GCI -- Medium mesh (Re=100,000 design point)</t>
  </si>
  <si>
    <t xml:space="preserve">GCI -- Coarse mesh (Re=100,000 design point)</t>
  </si>
  <si>
    <t xml:space="preserve">Correlation Validation Re sweep (Tin = 500K design point held fixed for every point)</t>
  </si>
  <si>
    <t xml:space="preserve">Correlation Validation -- Re=5,000</t>
  </si>
  <si>
    <t xml:space="preserve">Correlation Validation -- Re=7,500</t>
  </si>
  <si>
    <t xml:space="preserve">Correlation Validation -- Re=10,000</t>
  </si>
  <si>
    <t xml:space="preserve">Correlation Validation -- Re=20,000</t>
  </si>
  <si>
    <t xml:space="preserve">Correlation Validation -- Re=30,000</t>
  </si>
  <si>
    <t xml:space="preserve">Correlation Validation -- Re=50,000</t>
  </si>
  <si>
    <t xml:space="preserve">Correlation Validation -- Re=70,000</t>
  </si>
  <si>
    <t xml:space="preserve">Correlation Validation -- Re=100,000</t>
  </si>
  <si>
    <t xml:space="preserve">q'' pulls from the single wall-heat-flux input on the GCI sheet -- keep it identical across every run. V = Re . nu / D (kinematic viscosity, Fluid Properties sheet). f uses this row's own V, so it is correct at every Re, not just the Re=100,000 GCI design point.</t>
  </si>
  <si>
    <t xml:space="preserve">Smooth-Tube Validation vs Gnielinski / Petukhov</t>
  </si>
  <si>
    <t xml:space="preserve">Nu CFD and f CFD pull automatically from the Results Calculator sheet (enter your raw T_out/T_wall/p_in/p_out there, per Re).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</si>
  <si>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</si>
  <si>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</si>
  <si>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</si>
  <si>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</si>
  <si>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</si>
  <si>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</si>
  <si>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</si>
  <si>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</si>
  <si>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</si>
  <si>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Enter your raw T_out/T_wall/p_in/p_out on the Results Calculator sheet (rows 6-8) -- everything below pulls from there automatically.</t>
  </si>
  <si>
    <t xml:space="preserve">Validation Re used for this mesh-independence study</t>
  </si>
  <si>
    <t xml:space="preserve">Raw Fluent Extraction (linked from Results Calculator -- enter raw numbers there, rows 6-8)</t>
  </si>
  <si>
    <t xml:space="preserve">Wall heat flux, q'' (W/m²) -- must match your Fluent Wall BC, same for every mesh level</t>
  </si>
  <si>
    <t xml:space="preserve">Fine (1)</t>
  </si>
  <si>
    <t xml:space="preserve">Medium (2)</t>
  </si>
  <si>
    <t xml:space="preserve">Coarse (3)</t>
  </si>
  <si>
    <t xml:space="preserve">Outlet bulk temperature, T_out (K)  --  linked from Results Calculator</t>
  </si>
  <si>
    <t xml:space="preserve">Wall temperature, T_wall (K)  --  linked from Results Calculator</t>
  </si>
  <si>
    <t xml:space="preserve">Inlet pressure, p_in (Pa)  --  linked from Results Calculator</t>
  </si>
  <si>
    <t xml:space="preserve">Outlet pressure, p_out (Pa)  --  linked from Results Calculator</t>
  </si>
  <si>
    <t xml:space="preserve">Bulk temperature, Tb = (T_in + T_out) / 2  (K)</t>
  </si>
  <si>
    <t xml:space="preserve">Heat transfer coefficient, h = q'' / (T_wall - Tb)  (W/m²·K)</t>
  </si>
  <si>
    <t xml:space="preserve">Nu = h · D / k</t>
  </si>
  <si>
    <t xml:space="preserve">Pressure drop, ΔP = p_in - p_out  (Pa)</t>
  </si>
  <si>
    <t xml:space="preserve">f = 2 · ΔP · D / (L · ρ · V²)</t>
  </si>
  <si>
    <t xml:space="preserve">V here uses the Re=100,000 design velocity from YPlus Inflation (0.9567 m/s) -- correct as long as this GCI study is run at Re=100,000 (row 5 above). ρ and k come from Fluid Properties at Tb=500K.</t>
  </si>
  <si>
    <t xml:space="preserve">Mesh Comparison Summary -- Nu and f across mesh levels (this is where you see the difference)</t>
  </si>
  <si>
    <t xml:space="preserve">% change in Nu, Fine -&gt; Medium  /  Medium -&gt; Coarse</t>
  </si>
  <si>
    <t xml:space="preserve">% change in f, Fine -&gt; Medium  /  Medium -&gt; Coarse</t>
  </si>
  <si>
    <t xml:space="preserve">These % changes are a quick visual check while you're entering results. The formal, weighted mesh-independence verdict (GCI%) is computed in the two blocks below -- use GCI%, not this row, to decide pass/fail.</t>
  </si>
  <si>
    <t xml:space="preserve">Nusselt Number (Nu) Mesh Independence</t>
  </si>
  <si>
    <t xml:space="preserve">Representative cell size, h (mm)</t>
  </si>
  <si>
    <t xml:space="preserve">Nu result  --  auto-computed from Raw Fluent Extraction above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</si>
  <si>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</si>
  <si>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</si>
  <si>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</si>
  <si>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</si>
  <si>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</si>
  <si>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</si>
  <si>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</si>
  <si>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</si>
  <si>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</si>
  <si>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Mesh-independent if GCI_fine &lt; ~1% (CLAUDE.md threshold) to ~2% (roadmap threshold). If it fails, your Fine mesh becomes the new Coarse and you add a finer 4th level.</t>
  </si>
  <si>
    <t xml:space="preserve">Friction Factor (f) Mesh Independence</t>
  </si>
  <si>
    <t xml:space="preserve">f result  --  auto-computed from Raw Fluent Extraction above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</si>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</sst>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000"/>
    <numFmt numFmtId="175" formatCode="0.00%"/>
    <numFmt numFmtId="17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45" hidden="false" customHeight="true" outlineLevel="0" collapsed="false">
      <c r="B8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45" hidden="false" customHeight="true" outlineLevel="0" collapsed="false">
      <c r="B11" s="4" t="s">
        <v>6</v>
      </c>
    </row>
    <row r="13" customFormat="false" ht="15" hidden="false" customHeight="false" outlineLevel="0" collapsed="false">
      <c r="B13" s="3" t="s">
        <v>7</v>
      </c>
    </row>
    <row r="14" customFormat="false" ht="45" hidden="false" customHeight="true" outlineLevel="0" collapsed="false">
      <c r="B14" s="4" t="s">
        <v>8</v>
      </c>
    </row>
    <row r="16" customFormat="false" ht="15" hidden="false" customHeight="false" outlineLevel="0" collapsed="false">
      <c r="B16" s="3" t="s">
        <v>9</v>
      </c>
    </row>
    <row r="17" customFormat="false" ht="45" hidden="false" customHeight="true" outlineLevel="0" collapsed="false">
      <c r="B17" s="4" t="s">
        <v>10</v>
      </c>
    </row>
    <row r="19" customFormat="false" ht="15" hidden="false" customHeight="false" outlineLevel="0" collapsed="false">
      <c r="B19" s="3" t="s">
        <v>11</v>
      </c>
    </row>
    <row r="20" customFormat="false" ht="45" hidden="false" customHeight="true" outlineLevel="0" collapsed="false">
      <c r="B20" s="4" t="s">
        <v>12</v>
      </c>
    </row>
    <row r="22" customFormat="false" ht="15" hidden="false" customHeight="false" outlineLevel="0" collapsed="false">
      <c r="B22" s="3" t="s">
        <v>13</v>
      </c>
    </row>
    <row r="23" customFormat="false" ht="45" hidden="false" customHeight="true" outlineLevel="0" collapsed="false">
      <c r="B23" s="4" t="s">
        <v>14</v>
      </c>
    </row>
    <row r="25" customFormat="false" ht="15" hidden="false" customHeight="false" outlineLevel="0" collapsed="false">
      <c r="B25" s="3" t="s">
        <v>15</v>
      </c>
    </row>
    <row r="26" customFormat="false" ht="45" hidden="false" customHeight="true" outlineLevel="0" collapsed="false">
      <c r="B26" s="4" t="s">
        <v>16</v>
      </c>
    </row>
    <row r="28" customFormat="false" ht="15" hidden="false" customHeight="false" outlineLevel="0" collapsed="false">
      <c r="B28" s="3" t="s">
        <v>17</v>
      </c>
    </row>
    <row r="29" customFormat="false" ht="45" hidden="false" customHeight="true" outlineLevel="0" collapsed="false">
      <c r="B29" s="4" t="s">
        <v>18</v>
      </c>
    </row>
    <row r="32" customFormat="false" ht="15" hidden="false" customHeight="false" outlineLevel="0" collapsed="false">
      <c r="B32" s="5" t="s">
        <v>19</v>
      </c>
    </row>
    <row r="33" customFormat="false" ht="15" hidden="false" customHeight="false" outlineLevel="0" collapsed="false">
      <c r="B33" s="3" t="s">
        <v>20</v>
      </c>
    </row>
    <row r="34" customFormat="false" ht="45" hidden="false" customHeight="true" outlineLevel="0" collapsed="false">
      <c r="B34" s="4" t="s">
        <v>21</v>
      </c>
    </row>
    <row r="36" customFormat="false" ht="15" hidden="false" customHeight="false" outlineLevel="0" collapsed="false">
      <c r="B36" s="3" t="s">
        <v>22</v>
      </c>
    </row>
    <row r="37" customFormat="false" ht="45" hidden="false" customHeight="true" outlineLevel="0" collapsed="false">
      <c r="B37" s="4" t="s">
        <v>23</v>
      </c>
    </row>
    <row r="39" customFormat="false" ht="15" hidden="false" customHeight="false" outlineLevel="0" collapsed="false">
      <c r="B39" s="3" t="s">
        <v>24</v>
      </c>
    </row>
    <row r="40" customFormat="false" ht="45" hidden="false" customHeight="true" outlineLevel="0" collapsed="false">
      <c r="B40" s="4" t="s">
        <v>25</v>
      </c>
    </row>
    <row r="42" customFormat="false" ht="15" hidden="false" customHeight="false" outlineLevel="0" collapsed="false">
      <c r="B42" s="3" t="s">
        <v>26</v>
      </c>
    </row>
    <row r="43" customFormat="false" ht="45" hidden="false" customHeight="true" outlineLevel="0" collapsed="false">
      <c r="B4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</cols>
  <sheetData>
    <row r="2" customFormat="false" ht="17.35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30" hidden="false" customHeight="true" outlineLevel="0" collapsed="false">
      <c r="B5" s="6" t="s">
        <v>30</v>
      </c>
      <c r="C5" s="6" t="s">
        <v>31</v>
      </c>
      <c r="D5" s="6" t="s">
        <v>32</v>
      </c>
      <c r="E5" s="6" t="s">
        <v>33</v>
      </c>
    </row>
    <row r="6" customFormat="false" ht="15" hidden="false" customHeight="false" outlineLevel="0" collapsed="false">
      <c r="B6" s="7" t="s">
        <v>34</v>
      </c>
      <c r="C6" s="8" t="n">
        <v>0.066</v>
      </c>
      <c r="D6" s="9" t="s">
        <v>35</v>
      </c>
      <c r="E6" s="4" t="s">
        <v>36</v>
      </c>
    </row>
    <row r="7" customFormat="false" ht="15" hidden="false" customHeight="false" outlineLevel="0" collapsed="false">
      <c r="B7" s="7" t="s">
        <v>37</v>
      </c>
      <c r="C7" s="8" t="n">
        <v>4</v>
      </c>
      <c r="D7" s="9" t="s">
        <v>35</v>
      </c>
      <c r="E7" s="4" t="s">
        <v>38</v>
      </c>
    </row>
    <row r="8" customFormat="false" ht="15" hidden="false" customHeight="false" outlineLevel="0" collapsed="false">
      <c r="B8" s="7" t="s">
        <v>39</v>
      </c>
      <c r="C8" s="8" t="n">
        <v>5000</v>
      </c>
      <c r="D8" s="9" t="s">
        <v>40</v>
      </c>
      <c r="E8" s="4" t="s">
        <v>41</v>
      </c>
    </row>
    <row r="9" customFormat="false" ht="15" hidden="false" customHeight="false" outlineLevel="0" collapsed="false">
      <c r="B9" s="7" t="s">
        <v>42</v>
      </c>
      <c r="C9" s="8" t="n">
        <v>100000</v>
      </c>
      <c r="D9" s="9" t="s">
        <v>40</v>
      </c>
      <c r="E9" s="4" t="s">
        <v>43</v>
      </c>
    </row>
    <row r="10" customFormat="false" ht="15" hidden="false" customHeight="false" outlineLevel="0" collapsed="false">
      <c r="B10" s="7" t="s">
        <v>44</v>
      </c>
      <c r="C10" s="8" t="n">
        <v>500</v>
      </c>
      <c r="D10" s="9" t="s">
        <v>45</v>
      </c>
      <c r="E10" s="4" t="s">
        <v>46</v>
      </c>
    </row>
    <row r="11" customFormat="false" ht="15" hidden="false" customHeight="false" outlineLevel="0" collapsed="false">
      <c r="B11" s="7" t="s">
        <v>47</v>
      </c>
      <c r="C11" s="8" t="n">
        <v>1</v>
      </c>
      <c r="D11" s="9" t="s">
        <v>40</v>
      </c>
      <c r="E11" s="4" t="s">
        <v>48</v>
      </c>
    </row>
    <row r="12" customFormat="false" ht="15" hidden="false" customHeight="false" outlineLevel="0" collapsed="false">
      <c r="B12" s="7" t="s">
        <v>49</v>
      </c>
      <c r="C12" s="8" t="n">
        <v>1.2</v>
      </c>
      <c r="D12" s="9" t="s">
        <v>40</v>
      </c>
      <c r="E12" s="4" t="s">
        <v>50</v>
      </c>
    </row>
    <row r="13" customFormat="false" ht="15" hidden="false" customHeight="false" outlineLevel="0" collapsed="false">
      <c r="B13" s="7" t="s">
        <v>51</v>
      </c>
      <c r="C13" s="8" t="n">
        <v>20</v>
      </c>
      <c r="D13" s="9" t="s">
        <v>40</v>
      </c>
      <c r="E13" s="4" t="s">
        <v>52</v>
      </c>
    </row>
    <row r="14" customFormat="false" ht="15" hidden="false" customHeight="false" outlineLevel="0" collapsed="false">
      <c r="B14" s="7" t="s">
        <v>53</v>
      </c>
      <c r="C14" s="8" t="n">
        <v>1.5</v>
      </c>
      <c r="D14" s="9" t="s">
        <v>40</v>
      </c>
      <c r="E14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55</v>
      </c>
    </row>
    <row r="3" customFormat="false" ht="45" hidden="false" customHeight="true" outlineLevel="0" collapsed="false">
      <c r="B3" s="10" t="s">
        <v>56</v>
      </c>
      <c r="C3" s="10"/>
      <c r="D3" s="10"/>
      <c r="E3" s="10"/>
      <c r="F3" s="10"/>
      <c r="G3" s="10"/>
    </row>
    <row r="5" customFormat="false" ht="30" hidden="false" customHeight="true" outlineLevel="0" collapsed="false"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6" t="s">
        <v>62</v>
      </c>
    </row>
    <row r="6" customFormat="false" ht="15" hidden="false" customHeight="false" outlineLevel="0" collapsed="false">
      <c r="B6" s="11" t="n">
        <v>0</v>
      </c>
      <c r="C6" s="9" t="n">
        <f aca="false">B6+273.15</f>
        <v>273.15</v>
      </c>
      <c r="D6" s="11" t="n">
        <v>943</v>
      </c>
      <c r="E6" s="11" t="n">
        <v>9.4</v>
      </c>
      <c r="F6" s="11" t="n">
        <v>0.135</v>
      </c>
      <c r="G6" s="11" t="n">
        <v>1.53</v>
      </c>
    </row>
    <row r="7" customFormat="false" ht="15" hidden="false" customHeight="false" outlineLevel="0" collapsed="false">
      <c r="B7" s="11" t="n">
        <v>100</v>
      </c>
      <c r="C7" s="9" t="n">
        <f aca="false">B7+273.15</f>
        <v>373.15</v>
      </c>
      <c r="D7" s="11" t="n">
        <v>868</v>
      </c>
      <c r="E7" s="11" t="n">
        <v>1.75</v>
      </c>
      <c r="F7" s="11" t="n">
        <v>0.123</v>
      </c>
      <c r="G7" s="11" t="n">
        <v>1.72</v>
      </c>
    </row>
    <row r="8" customFormat="false" ht="15" hidden="false" customHeight="false" outlineLevel="0" collapsed="false">
      <c r="B8" s="11" t="n">
        <v>200</v>
      </c>
      <c r="C8" s="9" t="n">
        <f aca="false">B8+273.15</f>
        <v>473.15</v>
      </c>
      <c r="D8" s="11" t="n">
        <v>792</v>
      </c>
      <c r="E8" s="11" t="n">
        <v>0.72</v>
      </c>
      <c r="F8" s="11" t="n">
        <v>0.111</v>
      </c>
      <c r="G8" s="11" t="n">
        <v>1.92</v>
      </c>
    </row>
    <row r="9" customFormat="false" ht="15" hidden="false" customHeight="false" outlineLevel="0" collapsed="false">
      <c r="B9" s="11" t="n">
        <v>300</v>
      </c>
      <c r="C9" s="9" t="n">
        <f aca="false">B9+273.15</f>
        <v>573.15</v>
      </c>
      <c r="D9" s="11" t="n">
        <v>715</v>
      </c>
      <c r="E9" s="11" t="n">
        <v>0.39</v>
      </c>
      <c r="F9" s="11" t="n">
        <v>0.099</v>
      </c>
      <c r="G9" s="11" t="n">
        <v>2.14</v>
      </c>
    </row>
    <row r="10" customFormat="false" ht="15" hidden="false" customHeight="false" outlineLevel="0" collapsed="false">
      <c r="B10" s="11" t="n">
        <v>400</v>
      </c>
      <c r="C10" s="9" t="n">
        <f aca="false">B10+273.15</f>
        <v>673.15</v>
      </c>
      <c r="D10" s="11" t="n">
        <v>631</v>
      </c>
      <c r="E10" s="11" t="n">
        <v>0.24</v>
      </c>
      <c r="F10" s="11" t="n">
        <v>0.087</v>
      </c>
      <c r="G10" s="11" t="n">
        <v>2.38</v>
      </c>
    </row>
    <row r="12" customFormat="false" ht="15" hidden="false" customHeight="true" outlineLevel="0" collapsed="false">
      <c r="B12" s="12" t="s">
        <v>63</v>
      </c>
      <c r="C12" s="12"/>
      <c r="D12" s="12"/>
      <c r="E12" s="12"/>
      <c r="F12" s="12"/>
      <c r="G12" s="12"/>
    </row>
    <row r="14" customFormat="false" ht="15" hidden="false" customHeight="false" outlineLevel="0" collapsed="false">
      <c r="B14" s="13" t="s">
        <v>64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7" t="s">
        <v>65</v>
      </c>
      <c r="C15" s="14" t="n">
        <f aca="false">Inputs!$C$10</f>
        <v>500</v>
      </c>
    </row>
    <row r="16" customFormat="false" ht="15" hidden="false" customHeight="false" outlineLevel="0" collapsed="false">
      <c r="B16" s="7" t="s">
        <v>66</v>
      </c>
      <c r="C16" s="9" t="n">
        <f aca="false">C15-273.15</f>
        <v>226.85</v>
      </c>
    </row>
    <row r="17" customFormat="false" ht="15" hidden="false" customHeight="false" outlineLevel="0" collapsed="false">
      <c r="B17" s="7" t="s">
        <v>67</v>
      </c>
      <c r="C17" s="9" t="n">
        <f aca="true">FORECAST(C16,OFFSET($D$6,MATCH(C16,$B$6:$B$10,1)-1,0,2,1),OFFSET($B$6,MATCH(C16,$B$6:$B$10,1)-1,0,2,1))</f>
        <v>771.3255</v>
      </c>
    </row>
    <row r="18" customFormat="false" ht="15" hidden="false" customHeight="false" outlineLevel="0" collapsed="false">
      <c r="B18" s="7" t="s">
        <v>68</v>
      </c>
      <c r="C18" s="9" t="n">
        <f aca="true">FORECAST(C16,OFFSET($E$6,MATCH(C16,$B$6:$B$10,1)-1,0,2,1),OFFSET($B$6,MATCH(C16,$B$6:$B$10,1)-1,0,2,1))</f>
        <v>0.631395</v>
      </c>
    </row>
    <row r="19" customFormat="false" ht="15" hidden="false" customHeight="false" outlineLevel="0" collapsed="false">
      <c r="B19" s="7" t="s">
        <v>69</v>
      </c>
      <c r="C19" s="9" t="n">
        <f aca="true">FORECAST(C16,OFFSET($F$6,MATCH(C16,$B$6:$B$10,1)-1,0,2,1),OFFSET($B$6,MATCH(C16,$B$6:$B$10,1)-1,0,2,1))</f>
        <v>0.107778</v>
      </c>
    </row>
    <row r="20" customFormat="false" ht="15" hidden="false" customHeight="false" outlineLevel="0" collapsed="false">
      <c r="B20" s="7" t="s">
        <v>70</v>
      </c>
      <c r="C20" s="9" t="n">
        <f aca="true">FORECAST(C16,OFFSET($G$6,MATCH(C16,$B$6:$B$10,1)-1,0,2,1),OFFSET($B$6,MATCH(C16,$B$6:$B$10,1)-1,0,2,1))</f>
        <v>1.97907</v>
      </c>
    </row>
    <row r="21" customFormat="false" ht="15" hidden="false" customHeight="false" outlineLevel="0" collapsed="false">
      <c r="B21" s="7" t="s">
        <v>71</v>
      </c>
      <c r="C21" s="9" t="n">
        <f aca="false">C18*0.000001*C17</f>
        <v>0.0004870110640725</v>
      </c>
    </row>
    <row r="22" customFormat="false" ht="15" hidden="false" customHeight="false" outlineLevel="0" collapsed="false">
      <c r="B22" s="7" t="s">
        <v>72</v>
      </c>
      <c r="C22" s="9" t="n">
        <f aca="false">C18*0.000001</f>
        <v>6.31395E-007</v>
      </c>
    </row>
    <row r="23" customFormat="false" ht="15" hidden="false" customHeight="false" outlineLevel="0" collapsed="false">
      <c r="B23" s="7" t="s">
        <v>73</v>
      </c>
      <c r="C23" s="9" t="n">
        <f aca="false">C20*1000</f>
        <v>1979.07</v>
      </c>
    </row>
    <row r="24" customFormat="false" ht="15" hidden="false" customHeight="false" outlineLevel="0" collapsed="false">
      <c r="B24" s="3" t="s">
        <v>74</v>
      </c>
      <c r="C24" s="15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</cols>
  <sheetData>
    <row r="2" customFormat="false" ht="17.35" hidden="false" customHeight="false" outlineLevel="0" collapsed="false">
      <c r="B2" s="1" t="s">
        <v>75</v>
      </c>
    </row>
    <row r="3" customFormat="false" ht="27.75" hidden="false" customHeight="true" outlineLevel="0" collapsed="false">
      <c r="B3" s="12" t="s">
        <v>76</v>
      </c>
      <c r="C3" s="12"/>
      <c r="D3" s="12"/>
    </row>
    <row r="5" customFormat="false" ht="30" hidden="false" customHeight="true" outlineLevel="0" collapsed="false">
      <c r="B5" s="6" t="s">
        <v>30</v>
      </c>
      <c r="C5" s="6" t="s">
        <v>77</v>
      </c>
      <c r="D5" s="6" t="s">
        <v>78</v>
      </c>
    </row>
    <row r="6" customFormat="false" ht="15" hidden="false" customHeight="false" outlineLevel="0" collapsed="false">
      <c r="B6" s="4" t="s">
        <v>79</v>
      </c>
      <c r="C6" s="14" t="n">
        <f aca="false">Inputs!$C$8</f>
        <v>5000</v>
      </c>
      <c r="D6" s="14" t="n">
        <f aca="false">Inputs!$C$9</f>
        <v>100000</v>
      </c>
    </row>
    <row r="7" customFormat="false" ht="15" hidden="false" customHeight="false" outlineLevel="0" collapsed="false">
      <c r="B7" s="4" t="s">
        <v>80</v>
      </c>
      <c r="C7" s="14" t="n">
        <f aca="false">Inputs!$C$6</f>
        <v>0.066</v>
      </c>
      <c r="D7" s="14" t="n">
        <f aca="false">Inputs!$C$6</f>
        <v>0.066</v>
      </c>
    </row>
    <row r="8" customFormat="false" ht="15" hidden="false" customHeight="false" outlineLevel="0" collapsed="false">
      <c r="B8" s="4" t="s">
        <v>81</v>
      </c>
      <c r="C8" s="16" t="n">
        <f aca="false">'Fluid Properties'!$C$22</f>
        <v>6.31395E-007</v>
      </c>
      <c r="D8" s="16" t="n">
        <f aca="false">'Fluid Properties'!$C$22</f>
        <v>6.31395E-007</v>
      </c>
    </row>
    <row r="9" customFormat="false" ht="15" hidden="false" customHeight="false" outlineLevel="0" collapsed="false">
      <c r="B9" s="4" t="s">
        <v>82</v>
      </c>
      <c r="C9" s="17" t="n">
        <f aca="false">'Fluid Properties'!$C$17</f>
        <v>771.3255</v>
      </c>
      <c r="D9" s="17" t="n">
        <f aca="false">'Fluid Properties'!$C$17</f>
        <v>771.3255</v>
      </c>
    </row>
    <row r="10" customFormat="false" ht="15" hidden="false" customHeight="false" outlineLevel="0" collapsed="false">
      <c r="B10" s="4" t="s">
        <v>83</v>
      </c>
      <c r="C10" s="18" t="n">
        <f aca="false">C6*C8/C7</f>
        <v>0.0478329545454545</v>
      </c>
      <c r="D10" s="18" t="n">
        <f aca="false">D6*D8/D7</f>
        <v>0.956659090909091</v>
      </c>
    </row>
    <row r="11" customFormat="false" ht="15" hidden="false" customHeight="false" outlineLevel="0" collapsed="false">
      <c r="B11" s="4" t="s">
        <v>84</v>
      </c>
      <c r="C11" s="18" t="n">
        <f aca="false">(0.79*LN(C6)-1.64)^-2</f>
        <v>0.038619472656874</v>
      </c>
      <c r="D11" s="18" t="n">
        <f aca="false">(0.79*LN(D6)-1.64)^-2</f>
        <v>0.0179920275442123</v>
      </c>
    </row>
    <row r="12" customFormat="false" ht="15" hidden="false" customHeight="false" outlineLevel="0" collapsed="false">
      <c r="B12" s="4" t="s">
        <v>85</v>
      </c>
      <c r="C12" s="18" t="n">
        <f aca="false">(C11/8)*C9*C10^2</f>
        <v>0.00851938914127876</v>
      </c>
      <c r="D12" s="18" t="n">
        <f aca="false">(D11/8)*D9*D10^2</f>
        <v>1.58760411310244</v>
      </c>
    </row>
    <row r="13" customFormat="false" ht="15" hidden="false" customHeight="false" outlineLevel="0" collapsed="false">
      <c r="B13" s="4" t="s">
        <v>86</v>
      </c>
      <c r="C13" s="19" t="n">
        <f aca="false">SQRT(C12/C9)</f>
        <v>0.00332342118041285</v>
      </c>
      <c r="D13" s="19" t="n">
        <f aca="false">SQRT(D12/D9)</f>
        <v>0.0453682746081751</v>
      </c>
    </row>
    <row r="14" customFormat="false" ht="15" hidden="false" customHeight="false" outlineLevel="0" collapsed="false">
      <c r="B14" s="4" t="s">
        <v>87</v>
      </c>
      <c r="C14" s="20" t="n">
        <f aca="false">Inputs!$C$11*C8/C13</f>
        <v>0.00018998344348325</v>
      </c>
      <c r="D14" s="20" t="n">
        <f aca="false">Inputs!$C$11*D8/D13</f>
        <v>1.39171040876707E-005</v>
      </c>
    </row>
    <row r="15" customFormat="false" ht="15" hidden="false" customHeight="false" outlineLevel="0" collapsed="false">
      <c r="B15" s="4" t="s">
        <v>88</v>
      </c>
      <c r="C15" s="19" t="n">
        <f aca="false">C14*1000</f>
        <v>0.18998344348325</v>
      </c>
      <c r="D15" s="19" t="n">
        <f aca="false">D14*1000</f>
        <v>0.0139171040876707</v>
      </c>
    </row>
    <row r="16" customFormat="false" ht="15" hidden="false" customHeight="false" outlineLevel="0" collapsed="false">
      <c r="B16" s="4" t="s">
        <v>89</v>
      </c>
      <c r="C16" s="21" t="n">
        <f aca="false">C14*1000000</f>
        <v>189.98344348325</v>
      </c>
      <c r="D16" s="21" t="n">
        <f aca="false">D14*1000000</f>
        <v>13.9171040876707</v>
      </c>
    </row>
    <row r="19" customFormat="false" ht="15" hidden="false" customHeight="false" outlineLevel="0" collapsed="false">
      <c r="B19" s="22" t="s">
        <v>90</v>
      </c>
      <c r="C19" s="22"/>
      <c r="D19" s="22"/>
    </row>
    <row r="20" customFormat="false" ht="15" hidden="false" customHeight="false" outlineLevel="0" collapsed="false">
      <c r="B20" s="7" t="s">
        <v>91</v>
      </c>
      <c r="C20" s="23" t="n">
        <f aca="false">D15</f>
        <v>0.0139171040876707</v>
      </c>
    </row>
    <row r="21" customFormat="false" ht="15" hidden="false" customHeight="false" outlineLevel="0" collapsed="false">
      <c r="B21" s="7" t="s">
        <v>92</v>
      </c>
      <c r="C21" s="24" t="n">
        <f aca="false">C20*1000</f>
        <v>13.9171040876707</v>
      </c>
    </row>
    <row r="22" customFormat="false" ht="15" hidden="false" customHeight="false" outlineLevel="0" collapsed="false">
      <c r="B22" s="7" t="s">
        <v>93</v>
      </c>
      <c r="C22" s="25" t="n">
        <f aca="false">Inputs!$C$12</f>
        <v>1.2</v>
      </c>
    </row>
    <row r="23" customFormat="false" ht="15" hidden="false" customHeight="false" outlineLevel="0" collapsed="false">
      <c r="B23" s="7" t="s">
        <v>94</v>
      </c>
      <c r="C23" s="25" t="n">
        <f aca="false">Inputs!$C$13</f>
        <v>20</v>
      </c>
    </row>
    <row r="24" customFormat="false" ht="15" hidden="false" customHeight="false" outlineLevel="0" collapsed="false">
      <c r="B24" s="7" t="s">
        <v>95</v>
      </c>
      <c r="C24" s="26" t="n">
        <f aca="false">C20*(C22^C23-1)/(C22-1)</f>
        <v>2.5981563226636</v>
      </c>
    </row>
    <row r="25" customFormat="false" ht="15" hidden="false" customHeight="false" outlineLevel="0" collapsed="false">
      <c r="B25" s="7" t="s">
        <v>96</v>
      </c>
      <c r="C25" s="21" t="n">
        <f aca="false">Inputs!$C$6*1000/2</f>
        <v>33</v>
      </c>
    </row>
    <row r="26" customFormat="false" ht="15" hidden="false" customHeight="false" outlineLevel="0" collapsed="false">
      <c r="B26" s="7" t="s">
        <v>97</v>
      </c>
      <c r="C26" s="27" t="n">
        <f aca="false">C24/C25</f>
        <v>0.0787320097776848</v>
      </c>
    </row>
    <row r="28" customFormat="false" ht="60" hidden="false" customHeight="true" outlineLevel="0" collapsed="false">
      <c r="B28" s="12" t="s">
        <v>98</v>
      </c>
      <c r="C28" s="12"/>
      <c r="D28" s="12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99</v>
      </c>
    </row>
    <row r="3" customFormat="false" ht="39.75" hidden="false" customHeight="true" outlineLevel="0" collapsed="false">
      <c r="B3" s="12" t="s">
        <v>100</v>
      </c>
      <c r="C3" s="12"/>
      <c r="D3" s="12"/>
      <c r="E3" s="12"/>
    </row>
    <row r="5" customFormat="false" ht="15" hidden="false" customHeight="false" outlineLevel="0" collapsed="false">
      <c r="B5" s="7" t="s">
        <v>101</v>
      </c>
      <c r="C5" s="17" t="n">
        <f aca="false">Inputs!$C$14</f>
        <v>1.5</v>
      </c>
    </row>
    <row r="7" customFormat="false" ht="30" hidden="false" customHeight="true" outlineLevel="0" collapsed="false">
      <c r="B7" s="6" t="s">
        <v>30</v>
      </c>
      <c r="C7" s="6" t="s">
        <v>102</v>
      </c>
      <c r="D7" s="6" t="s">
        <v>103</v>
      </c>
      <c r="E7" s="6" t="s">
        <v>104</v>
      </c>
    </row>
    <row r="8" customFormat="false" ht="15" hidden="false" customHeight="false" outlineLevel="0" collapsed="false">
      <c r="B8" s="7" t="s">
        <v>105</v>
      </c>
      <c r="C8" s="11" t="n">
        <v>15</v>
      </c>
      <c r="D8" s="9" t="n">
        <f aca="false">ROUND(C8*$C$5,0)</f>
        <v>23</v>
      </c>
      <c r="E8" s="9" t="n">
        <f aca="false">ROUND(D8*$C$5,0)</f>
        <v>35</v>
      </c>
    </row>
    <row r="9" customFormat="false" ht="15" hidden="false" customHeight="false" outlineLevel="0" collapsed="false">
      <c r="B9" s="7" t="s">
        <v>106</v>
      </c>
      <c r="C9" s="11" t="n">
        <v>10</v>
      </c>
      <c r="D9" s="9" t="n">
        <f aca="false">ROUND(C9*$C$5,0)</f>
        <v>15</v>
      </c>
      <c r="E9" s="9" t="n">
        <f aca="false">ROUND(D9*$C$5,0)</f>
        <v>23</v>
      </c>
    </row>
    <row r="10" customFormat="false" ht="15" hidden="false" customHeight="false" outlineLevel="0" collapsed="false">
      <c r="B10" s="7" t="s">
        <v>107</v>
      </c>
      <c r="C10" s="11" t="n">
        <v>100</v>
      </c>
      <c r="D10" s="9" t="n">
        <f aca="false">ROUND(C10*$C$5,0)</f>
        <v>150</v>
      </c>
      <c r="E10" s="9" t="n">
        <f aca="false">ROUND(D10*$C$5,0)</f>
        <v>225</v>
      </c>
    </row>
    <row r="12" customFormat="false" ht="15" hidden="false" customHeight="false" outlineLevel="0" collapsed="false">
      <c r="B12" s="7" t="s">
        <v>108</v>
      </c>
      <c r="C12" s="21" t="n">
        <f aca="false">PI()*Inputs!$C$6*1000/C8</f>
        <v>13.8230076757951</v>
      </c>
      <c r="D12" s="21" t="n">
        <f aca="false">PI()*Inputs!$C$6*1000/D8</f>
        <v>9.01500500595332</v>
      </c>
      <c r="E12" s="21" t="n">
        <f aca="false">PI()*Inputs!$C$6*1000/E8</f>
        <v>5.92414614676932</v>
      </c>
    </row>
    <row r="13" customFormat="false" ht="15" hidden="false" customHeight="false" outlineLevel="0" collapsed="false">
      <c r="B13" s="7" t="s">
        <v>109</v>
      </c>
      <c r="C13" s="21" t="n">
        <f aca="false">Inputs!$C$7*1000/C10</f>
        <v>40</v>
      </c>
      <c r="D13" s="21" t="n">
        <f aca="false">Inputs!$C$7*1000/D10</f>
        <v>26.6666666666667</v>
      </c>
      <c r="E13" s="21" t="n">
        <f aca="false">Inputs!$C$7*1000/E10</f>
        <v>17.7777777777778</v>
      </c>
    </row>
    <row r="15" customFormat="false" ht="30" hidden="false" customHeight="true" outlineLevel="0" collapsed="false">
      <c r="B15" s="28" t="s">
        <v>110</v>
      </c>
      <c r="C15" s="28"/>
      <c r="D15" s="28"/>
      <c r="E15" s="28"/>
    </row>
    <row r="16" customFormat="false" ht="27.75" hidden="false" customHeight="true" outlineLevel="0" collapsed="false">
      <c r="B16" s="4" t="s">
        <v>111</v>
      </c>
      <c r="C16" s="29" t="n">
        <v>0.4</v>
      </c>
    </row>
    <row r="17" customFormat="false" ht="15" hidden="false" customHeight="false" outlineLevel="0" collapsed="false">
      <c r="B17" s="7" t="s">
        <v>112</v>
      </c>
      <c r="C17" s="21" t="n">
        <f aca="false">Inputs!$C$6*1000/2</f>
        <v>33</v>
      </c>
    </row>
    <row r="18" customFormat="false" ht="15" hidden="false" customHeight="false" outlineLevel="0" collapsed="false">
      <c r="B18" s="7" t="s">
        <v>113</v>
      </c>
      <c r="C18" s="21" t="n">
        <f aca="false">C16*C17</f>
        <v>13.2</v>
      </c>
    </row>
    <row r="19" customFormat="false" ht="15" hidden="false" customHeight="false" outlineLevel="0" collapsed="false">
      <c r="B19" s="7" t="s">
        <v>114</v>
      </c>
      <c r="C19" s="21" t="n">
        <f aca="false">C17-C18</f>
        <v>19.8</v>
      </c>
    </row>
    <row r="20" customFormat="false" ht="15" hidden="false" customHeight="false" outlineLevel="0" collapsed="false">
      <c r="B20" s="7" t="s">
        <v>115</v>
      </c>
      <c r="C20" s="18" t="n">
        <f aca="false">$C$19/C9</f>
        <v>1.98</v>
      </c>
      <c r="D20" s="18" t="n">
        <f aca="false">$C$19/D9</f>
        <v>1.32</v>
      </c>
      <c r="E20" s="18" t="n">
        <f aca="false">$C$19/E9</f>
        <v>0.860869565217391</v>
      </c>
    </row>
    <row r="21" customFormat="false" ht="60" hidden="false" customHeight="true" outlineLevel="0" collapsed="false">
      <c r="B21" s="12" t="s">
        <v>116</v>
      </c>
      <c r="C21" s="12"/>
      <c r="D21" s="12"/>
      <c r="E21" s="12"/>
    </row>
    <row r="23" customFormat="false" ht="15" hidden="false" customHeight="false" outlineLevel="0" collapsed="false">
      <c r="B23" s="22" t="s">
        <v>117</v>
      </c>
      <c r="C23" s="22"/>
      <c r="D23" s="22"/>
      <c r="E23" s="22"/>
    </row>
    <row r="24" customFormat="false" ht="15" hidden="false" customHeight="false" outlineLevel="0" collapsed="false">
      <c r="B24" s="7" t="s">
        <v>88</v>
      </c>
      <c r="C24" s="30" t="n">
        <f aca="false">'YPlus Inflation'!$C$20</f>
        <v>0.0139171040876707</v>
      </c>
      <c r="D24" s="30" t="n">
        <f aca="false">'YPlus Inflation'!$C$20</f>
        <v>0.0139171040876707</v>
      </c>
      <c r="E24" s="30" t="n">
        <f aca="false">'YPlus Inflation'!$C$20</f>
        <v>0.0139171040876707</v>
      </c>
    </row>
    <row r="25" customFormat="false" ht="15" hidden="false" customHeight="false" outlineLevel="0" collapsed="false">
      <c r="B25" s="7" t="s">
        <v>118</v>
      </c>
      <c r="C25" s="31" t="n">
        <f aca="false">'YPlus Inflation'!$C$22</f>
        <v>1.2</v>
      </c>
      <c r="D25" s="31" t="n">
        <f aca="false">'YPlus Inflation'!$C$22</f>
        <v>1.2</v>
      </c>
      <c r="E25" s="31" t="n">
        <f aca="false">'YPlus Inflation'!$C$22</f>
        <v>1.2</v>
      </c>
    </row>
    <row r="26" customFormat="false" ht="15" hidden="false" customHeight="false" outlineLevel="0" collapsed="false">
      <c r="B26" s="7" t="s">
        <v>51</v>
      </c>
      <c r="C26" s="32" t="n">
        <f aca="false">'YPlus Inflation'!$C$23</f>
        <v>20</v>
      </c>
      <c r="D26" s="32" t="n">
        <f aca="false">'YPlus Inflation'!$C$23</f>
        <v>20</v>
      </c>
      <c r="E26" s="32" t="n">
        <f aca="false">'YPlus Inflation'!$C$23</f>
        <v>20</v>
      </c>
    </row>
    <row r="28" customFormat="false" ht="30" hidden="false" customHeight="true" outlineLevel="0" collapsed="false">
      <c r="B28" s="4" t="s">
        <v>119</v>
      </c>
      <c r="C28" s="33" t="n">
        <f aca="false">C8*C10*(C9+C26)</f>
        <v>45000</v>
      </c>
      <c r="D28" s="33" t="n">
        <f aca="false">D8*D10*(D9+D26)</f>
        <v>120750</v>
      </c>
      <c r="E28" s="33" t="n">
        <f aca="false">E8*E10*(E9+E26)</f>
        <v>338625</v>
      </c>
    </row>
    <row r="29" customFormat="false" ht="30" hidden="false" customHeight="true" outlineLevel="0" collapsed="false">
      <c r="B29" s="4" t="s">
        <v>120</v>
      </c>
      <c r="C29" s="18" t="n">
        <f aca="false">(PI()/4*(Inputs!$C$6*1000)^2*(Inputs!$C$7*1000)/C28)^(1/3)</f>
        <v>6.72473347933769</v>
      </c>
      <c r="D29" s="18" t="n">
        <f aca="false">(PI()/4*(Inputs!$C$6*1000)^2*(Inputs!$C$7*1000)/D28)^(1/3)</f>
        <v>4.8393110188735</v>
      </c>
      <c r="E29" s="18" t="n">
        <f aca="false">(PI()/4*(Inputs!$C$6*1000)^2*(Inputs!$C$7*1000)/E28)^(1/3)</f>
        <v>3.43167571948627</v>
      </c>
    </row>
    <row r="31" customFormat="false" ht="75" hidden="false" customHeight="true" outlineLevel="0" collapsed="false">
      <c r="B31" s="12" t="s">
        <v>121</v>
      </c>
      <c r="C31" s="12"/>
      <c r="D31" s="12"/>
      <c r="E31" s="12"/>
    </row>
  </sheetData>
  <mergeCells count="5">
    <mergeCell ref="B3:E3"/>
    <mergeCell ref="B15:E15"/>
    <mergeCell ref="B21:E21"/>
    <mergeCell ref="B23:E23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12" min="7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3"/>
  </cols>
  <sheetData>
    <row r="2" customFormat="false" ht="17.35" hidden="false" customHeight="false" outlineLevel="0" collapsed="false">
      <c r="B2" s="1" t="s">
        <v>122</v>
      </c>
    </row>
    <row r="3" customFormat="false" ht="39.75" hidden="false" customHeight="true" outlineLevel="0" collapsed="false">
      <c r="B3" s="12" t="s">
        <v>123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5" customFormat="false" ht="30" hidden="false" customHeight="true" outlineLevel="0" collapsed="false">
      <c r="B5" s="6" t="s">
        <v>124</v>
      </c>
      <c r="C5" s="6" t="s">
        <v>79</v>
      </c>
      <c r="D5" s="6" t="s">
        <v>125</v>
      </c>
      <c r="E5" s="6" t="s">
        <v>126</v>
      </c>
      <c r="F5" s="6" t="s">
        <v>127</v>
      </c>
      <c r="G5" s="6" t="s">
        <v>128</v>
      </c>
      <c r="H5" s="6" t="s">
        <v>129</v>
      </c>
      <c r="I5" s="6" t="s">
        <v>130</v>
      </c>
      <c r="J5" s="6" t="s">
        <v>131</v>
      </c>
      <c r="K5" s="6" t="s">
        <v>132</v>
      </c>
      <c r="L5" s="6" t="s">
        <v>133</v>
      </c>
      <c r="M5" s="6" t="s">
        <v>134</v>
      </c>
      <c r="N5" s="6" t="s">
        <v>135</v>
      </c>
    </row>
    <row r="6" customFormat="false" ht="15" hidden="false" customHeight="false" outlineLevel="0" collapsed="false">
      <c r="B6" s="15" t="s">
        <v>136</v>
      </c>
      <c r="C6" s="34" t="n">
        <v>100000</v>
      </c>
      <c r="D6" s="35" t="n">
        <f aca="false">'GCI Mesh Independence'!$C$8</f>
        <v>5000</v>
      </c>
      <c r="E6" s="36"/>
      <c r="F6" s="36"/>
      <c r="G6" s="37"/>
      <c r="H6" s="37"/>
      <c r="I6" s="18" t="n">
        <f aca="false">C6*'Fluid Properties'!$C$22/Inputs!$C$6</f>
        <v>0.956659090909091</v>
      </c>
      <c r="J6" s="18" t="str">
        <f aca="false">IF(E6="","",(Inputs!$C$10+E6)/2)</f>
        <v/>
      </c>
      <c r="K6" s="21" t="str">
        <f aca="false">IF(OR(F6="",J6=""),"",D6/(F6-J6))</f>
        <v/>
      </c>
      <c r="L6" s="38" t="str">
        <f aca="false">IF(K6="","",K6*Inputs!$C$6/'Fluid Properties'!$C$19)</f>
        <v/>
      </c>
      <c r="M6" s="18" t="str">
        <f aca="false">IF(OR(G6="",H6=""),"",G6-H6)</f>
        <v/>
      </c>
      <c r="N6" s="39" t="str">
        <f aca="false">IF(M6="","",2*M6*Inputs!$C$6/(Inputs!$C$7*'Fluid Properties'!$C$17*I6^2))</f>
        <v/>
      </c>
    </row>
    <row r="7" customFormat="false" ht="15" hidden="false" customHeight="false" outlineLevel="0" collapsed="false">
      <c r="B7" s="15" t="s">
        <v>137</v>
      </c>
      <c r="C7" s="34" t="n">
        <v>100000</v>
      </c>
      <c r="D7" s="35" t="n">
        <f aca="false">'GCI Mesh Independence'!$C$8</f>
        <v>5000</v>
      </c>
      <c r="E7" s="36"/>
      <c r="F7" s="36"/>
      <c r="G7" s="37"/>
      <c r="H7" s="37"/>
      <c r="I7" s="18" t="n">
        <f aca="false">C7*'Fluid Properties'!$C$22/Inputs!$C$6</f>
        <v>0.956659090909091</v>
      </c>
      <c r="J7" s="18" t="str">
        <f aca="false">IF(E7="","",(Inputs!$C$10+E7)/2)</f>
        <v/>
      </c>
      <c r="K7" s="21" t="str">
        <f aca="false">IF(OR(F7="",J7=""),"",D7/(F7-J7))</f>
        <v/>
      </c>
      <c r="L7" s="38" t="str">
        <f aca="false">IF(K7="","",K7*Inputs!$C$6/'Fluid Properties'!$C$19)</f>
        <v/>
      </c>
      <c r="M7" s="18" t="str">
        <f aca="false">IF(OR(G7="",H7=""),"",G7-H7)</f>
        <v/>
      </c>
      <c r="N7" s="39" t="str">
        <f aca="false">IF(M7="","",2*M7*Inputs!$C$6/(Inputs!$C$7*'Fluid Properties'!$C$17*I7^2))</f>
        <v/>
      </c>
    </row>
    <row r="8" customFormat="false" ht="15" hidden="false" customHeight="false" outlineLevel="0" collapsed="false">
      <c r="B8" s="15" t="s">
        <v>138</v>
      </c>
      <c r="C8" s="34" t="n">
        <v>100000</v>
      </c>
      <c r="D8" s="35" t="n">
        <f aca="false">'GCI Mesh Independence'!$C$8</f>
        <v>5000</v>
      </c>
      <c r="E8" s="36" t="n">
        <v>500.93989</v>
      </c>
      <c r="F8" s="36" t="n">
        <v>506.45377</v>
      </c>
      <c r="G8" s="37" t="n">
        <v>368.57945</v>
      </c>
      <c r="H8" s="37" t="n">
        <v>0</v>
      </c>
      <c r="I8" s="18" t="n">
        <f aca="false">C8*'Fluid Properties'!$C$22/Inputs!$C$6</f>
        <v>0.956659090909091</v>
      </c>
      <c r="J8" s="18" t="n">
        <f aca="false">IF(E8="","",(Inputs!$C$10+E8)/2)</f>
        <v>500.469945</v>
      </c>
      <c r="K8" s="21" t="n">
        <f aca="false">IF(OR(F8="",J8=""),"",D8/(F8-J8))</f>
        <v>835.585933746388</v>
      </c>
      <c r="L8" s="38" t="n">
        <f aca="false">IF(K8="","",K8*Inputs!$C$6/'Fluid Properties'!$C$19)</f>
        <v>511.687650793869</v>
      </c>
      <c r="M8" s="18" t="n">
        <f aca="false">IF(OR(G8="",H8=""),"",G8-H8)</f>
        <v>368.57945</v>
      </c>
      <c r="N8" s="39" t="n">
        <f aca="false">IF(M8="","",2*M8*Inputs!$C$6/(Inputs!$C$7*'Fluid Properties'!$C$17*I8^2))</f>
        <v>0.0172303048932932</v>
      </c>
    </row>
    <row r="9" customFormat="false" ht="15" hidden="false" customHeight="false" outlineLevel="0" collapsed="false">
      <c r="B9" s="22" t="s">
        <v>139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</row>
    <row r="10" customFormat="false" ht="15" hidden="false" customHeight="false" outlineLevel="0" collapsed="false">
      <c r="B10" s="15" t="s">
        <v>140</v>
      </c>
      <c r="C10" s="34" t="n">
        <v>5000</v>
      </c>
      <c r="D10" s="35" t="n">
        <f aca="false">'GCI Mesh Independence'!$C$8</f>
        <v>5000</v>
      </c>
      <c r="E10" s="36"/>
      <c r="F10" s="36"/>
      <c r="G10" s="37"/>
      <c r="H10" s="37"/>
      <c r="I10" s="18" t="n">
        <f aca="false">C10*'Fluid Properties'!$C$22/Inputs!$C$6</f>
        <v>0.0478329545454545</v>
      </c>
      <c r="J10" s="18" t="str">
        <f aca="false">IF(E10="","",(Inputs!$C$10+E10)/2)</f>
        <v/>
      </c>
      <c r="K10" s="21" t="str">
        <f aca="false">IF(OR(F10="",J10=""),"",D10/(F10-J10))</f>
        <v/>
      </c>
      <c r="L10" s="38" t="str">
        <f aca="false">IF(K10="","",K10*Inputs!$C$6/'Fluid Properties'!$C$19)</f>
        <v/>
      </c>
      <c r="M10" s="18" t="str">
        <f aca="false">IF(OR(G10="",H10=""),"",G10-H10)</f>
        <v/>
      </c>
      <c r="N10" s="39" t="str">
        <f aca="false">IF(M10="","",2*M10*Inputs!$C$6/(Inputs!$C$7*'Fluid Properties'!$C$17*I10^2))</f>
        <v/>
      </c>
    </row>
    <row r="11" customFormat="false" ht="15" hidden="false" customHeight="false" outlineLevel="0" collapsed="false">
      <c r="B11" s="15" t="s">
        <v>141</v>
      </c>
      <c r="C11" s="34" t="n">
        <v>7500</v>
      </c>
      <c r="D11" s="35" t="n">
        <f aca="false">'GCI Mesh Independence'!$C$8</f>
        <v>5000</v>
      </c>
      <c r="E11" s="36"/>
      <c r="F11" s="36"/>
      <c r="G11" s="37"/>
      <c r="H11" s="37"/>
      <c r="I11" s="18" t="n">
        <f aca="false">C11*'Fluid Properties'!$C$22/Inputs!$C$6</f>
        <v>0.0717494318181818</v>
      </c>
      <c r="J11" s="18" t="str">
        <f aca="false">IF(E11="","",(Inputs!$C$10+E11)/2)</f>
        <v/>
      </c>
      <c r="K11" s="21" t="str">
        <f aca="false">IF(OR(F11="",J11=""),"",D11/(F11-J11))</f>
        <v/>
      </c>
      <c r="L11" s="38" t="str">
        <f aca="false">IF(K11="","",K11*Inputs!$C$6/'Fluid Properties'!$C$19)</f>
        <v/>
      </c>
      <c r="M11" s="18" t="str">
        <f aca="false">IF(OR(G11="",H11=""),"",G11-H11)</f>
        <v/>
      </c>
      <c r="N11" s="39" t="str">
        <f aca="false">IF(M11="","",2*M11*Inputs!$C$6/(Inputs!$C$7*'Fluid Properties'!$C$17*I11^2))</f>
        <v/>
      </c>
    </row>
    <row r="12" customFormat="false" ht="15" hidden="false" customHeight="false" outlineLevel="0" collapsed="false">
      <c r="B12" s="15" t="s">
        <v>142</v>
      </c>
      <c r="C12" s="34" t="n">
        <v>10000</v>
      </c>
      <c r="D12" s="35" t="n">
        <f aca="false">'GCI Mesh Independence'!$C$8</f>
        <v>5000</v>
      </c>
      <c r="E12" s="36"/>
      <c r="F12" s="36"/>
      <c r="G12" s="37"/>
      <c r="H12" s="37"/>
      <c r="I12" s="18" t="n">
        <f aca="false">C12*'Fluid Properties'!$C$22/Inputs!$C$6</f>
        <v>0.0956659090909091</v>
      </c>
      <c r="J12" s="18" t="str">
        <f aca="false">IF(E12="","",(Inputs!$C$10+E12)/2)</f>
        <v/>
      </c>
      <c r="K12" s="21" t="str">
        <f aca="false">IF(OR(F12="",J12=""),"",D12/(F12-J12))</f>
        <v/>
      </c>
      <c r="L12" s="38" t="str">
        <f aca="false">IF(K12="","",K12*Inputs!$C$6/'Fluid Properties'!$C$19)</f>
        <v/>
      </c>
      <c r="M12" s="18" t="str">
        <f aca="false">IF(OR(G12="",H12=""),"",G12-H12)</f>
        <v/>
      </c>
      <c r="N12" s="39" t="str">
        <f aca="false">IF(M12="","",2*M12*Inputs!$C$6/(Inputs!$C$7*'Fluid Properties'!$C$17*I12^2))</f>
        <v/>
      </c>
    </row>
    <row r="13" customFormat="false" ht="15" hidden="false" customHeight="false" outlineLevel="0" collapsed="false">
      <c r="B13" s="15" t="s">
        <v>143</v>
      </c>
      <c r="C13" s="34" t="n">
        <v>20000</v>
      </c>
      <c r="D13" s="35" t="n">
        <f aca="false">'GCI Mesh Independence'!$C$8</f>
        <v>5000</v>
      </c>
      <c r="E13" s="36"/>
      <c r="F13" s="36"/>
      <c r="G13" s="37"/>
      <c r="H13" s="37"/>
      <c r="I13" s="18" t="n">
        <f aca="false">C13*'Fluid Properties'!$C$22/Inputs!$C$6</f>
        <v>0.191331818181818</v>
      </c>
      <c r="J13" s="18" t="str">
        <f aca="false">IF(E13="","",(Inputs!$C$10+E13)/2)</f>
        <v/>
      </c>
      <c r="K13" s="21" t="str">
        <f aca="false">IF(OR(F13="",J13=""),"",D13/(F13-J13))</f>
        <v/>
      </c>
      <c r="L13" s="38" t="str">
        <f aca="false">IF(K13="","",K13*Inputs!$C$6/'Fluid Properties'!$C$19)</f>
        <v/>
      </c>
      <c r="M13" s="18" t="str">
        <f aca="false">IF(OR(G13="",H13=""),"",G13-H13)</f>
        <v/>
      </c>
      <c r="N13" s="39" t="str">
        <f aca="false">IF(M13="","",2*M13*Inputs!$C$6/(Inputs!$C$7*'Fluid Properties'!$C$17*I13^2))</f>
        <v/>
      </c>
    </row>
    <row r="14" customFormat="false" ht="15" hidden="false" customHeight="false" outlineLevel="0" collapsed="false">
      <c r="B14" s="15" t="s">
        <v>144</v>
      </c>
      <c r="C14" s="34" t="n">
        <v>30000</v>
      </c>
      <c r="D14" s="35" t="n">
        <f aca="false">'GCI Mesh Independence'!$C$8</f>
        <v>5000</v>
      </c>
      <c r="E14" s="36"/>
      <c r="F14" s="36"/>
      <c r="G14" s="37"/>
      <c r="H14" s="37"/>
      <c r="I14" s="18" t="n">
        <f aca="false">C14*'Fluid Properties'!$C$22/Inputs!$C$6</f>
        <v>0.286997727272727</v>
      </c>
      <c r="J14" s="18" t="str">
        <f aca="false">IF(E14="","",(Inputs!$C$10+E14)/2)</f>
        <v/>
      </c>
      <c r="K14" s="21" t="str">
        <f aca="false">IF(OR(F14="",J14=""),"",D14/(F14-J14))</f>
        <v/>
      </c>
      <c r="L14" s="38" t="str">
        <f aca="false">IF(K14="","",K14*Inputs!$C$6/'Fluid Properties'!$C$19)</f>
        <v/>
      </c>
      <c r="M14" s="18" t="str">
        <f aca="false">IF(OR(G14="",H14=""),"",G14-H14)</f>
        <v/>
      </c>
      <c r="N14" s="39" t="str">
        <f aca="false">IF(M14="","",2*M14*Inputs!$C$6/(Inputs!$C$7*'Fluid Properties'!$C$17*I14^2))</f>
        <v/>
      </c>
    </row>
    <row r="15" customFormat="false" ht="15" hidden="false" customHeight="false" outlineLevel="0" collapsed="false">
      <c r="B15" s="15" t="s">
        <v>145</v>
      </c>
      <c r="C15" s="34" t="n">
        <v>50000</v>
      </c>
      <c r="D15" s="35" t="n">
        <f aca="false">'GCI Mesh Independence'!$C$8</f>
        <v>5000</v>
      </c>
      <c r="E15" s="36"/>
      <c r="F15" s="36"/>
      <c r="G15" s="37"/>
      <c r="H15" s="37"/>
      <c r="I15" s="18" t="n">
        <f aca="false">C15*'Fluid Properties'!$C$22/Inputs!$C$6</f>
        <v>0.478329545454545</v>
      </c>
      <c r="J15" s="18" t="str">
        <f aca="false">IF(E15="","",(Inputs!$C$10+E15)/2)</f>
        <v/>
      </c>
      <c r="K15" s="21" t="str">
        <f aca="false">IF(OR(F15="",J15=""),"",D15/(F15-J15))</f>
        <v/>
      </c>
      <c r="L15" s="38" t="str">
        <f aca="false">IF(K15="","",K15*Inputs!$C$6/'Fluid Properties'!$C$19)</f>
        <v/>
      </c>
      <c r="M15" s="18" t="str">
        <f aca="false">IF(OR(G15="",H15=""),"",G15-H15)</f>
        <v/>
      </c>
      <c r="N15" s="39" t="str">
        <f aca="false">IF(M15="","",2*M15*Inputs!$C$6/(Inputs!$C$7*'Fluid Properties'!$C$17*I15^2))</f>
        <v/>
      </c>
    </row>
    <row r="16" customFormat="false" ht="15" hidden="false" customHeight="false" outlineLevel="0" collapsed="false">
      <c r="B16" s="15" t="s">
        <v>146</v>
      </c>
      <c r="C16" s="34" t="n">
        <v>70000</v>
      </c>
      <c r="D16" s="35" t="n">
        <f aca="false">'GCI Mesh Independence'!$C$8</f>
        <v>5000</v>
      </c>
      <c r="E16" s="36"/>
      <c r="F16" s="36"/>
      <c r="G16" s="37"/>
      <c r="H16" s="37"/>
      <c r="I16" s="18" t="n">
        <f aca="false">C16*'Fluid Properties'!$C$22/Inputs!$C$6</f>
        <v>0.669661363636363</v>
      </c>
      <c r="J16" s="18" t="str">
        <f aca="false">IF(E16="","",(Inputs!$C$10+E16)/2)</f>
        <v/>
      </c>
      <c r="K16" s="21" t="str">
        <f aca="false">IF(OR(F16="",J16=""),"",D16/(F16-J16))</f>
        <v/>
      </c>
      <c r="L16" s="38" t="str">
        <f aca="false">IF(K16="","",K16*Inputs!$C$6/'Fluid Properties'!$C$19)</f>
        <v/>
      </c>
      <c r="M16" s="18" t="str">
        <f aca="false">IF(OR(G16="",H16=""),"",G16-H16)</f>
        <v/>
      </c>
      <c r="N16" s="39" t="str">
        <f aca="false">IF(M16="","",2*M16*Inputs!$C$6/(Inputs!$C$7*'Fluid Properties'!$C$17*I16^2))</f>
        <v/>
      </c>
    </row>
    <row r="17" customFormat="false" ht="15" hidden="false" customHeight="false" outlineLevel="0" collapsed="false">
      <c r="B17" s="15" t="s">
        <v>147</v>
      </c>
      <c r="C17" s="34" t="n">
        <v>100000</v>
      </c>
      <c r="D17" s="35" t="n">
        <f aca="false">'GCI Mesh Independence'!$C$8</f>
        <v>5000</v>
      </c>
      <c r="E17" s="36"/>
      <c r="F17" s="36"/>
      <c r="G17" s="37"/>
      <c r="H17" s="37"/>
      <c r="I17" s="18" t="n">
        <f aca="false">C17*'Fluid Properties'!$C$22/Inputs!$C$6</f>
        <v>0.956659090909091</v>
      </c>
      <c r="J17" s="18" t="str">
        <f aca="false">IF(E17="","",(Inputs!$C$10+E17)/2)</f>
        <v/>
      </c>
      <c r="K17" s="21" t="str">
        <f aca="false">IF(OR(F17="",J17=""),"",D17/(F17-J17))</f>
        <v/>
      </c>
      <c r="L17" s="38" t="str">
        <f aca="false">IF(K17="","",K17*Inputs!$C$6/'Fluid Properties'!$C$19)</f>
        <v/>
      </c>
      <c r="M17" s="18" t="str">
        <f aca="false">IF(OR(G17="",H17=""),"",G17-H17)</f>
        <v/>
      </c>
      <c r="N17" s="39" t="str">
        <f aca="false">IF(M17="","",2*M17*Inputs!$C$6/(Inputs!$C$7*'Fluid Properties'!$C$17*I17^2))</f>
        <v/>
      </c>
    </row>
    <row r="19" customFormat="false" ht="39.75" hidden="false" customHeight="true" outlineLevel="0" collapsed="false">
      <c r="B19" s="12" t="s">
        <v>148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</sheetData>
  <mergeCells count="3">
    <mergeCell ref="B3:N3"/>
    <mergeCell ref="B9:N9"/>
    <mergeCell ref="B19: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17.35" hidden="false" customHeight="false" outlineLevel="0" collapsed="false">
      <c r="B2" s="1" t="s">
        <v>149</v>
      </c>
    </row>
    <row r="3" customFormat="false" ht="27.75" hidden="false" customHeight="true" outlineLevel="0" collapsed="false">
      <c r="B3" s="12" t="s">
        <v>150</v>
      </c>
      <c r="C3" s="12"/>
      <c r="D3" s="12"/>
      <c r="E3" s="12"/>
      <c r="F3" s="12"/>
      <c r="G3" s="12"/>
      <c r="H3" s="12"/>
      <c r="I3" s="12"/>
    </row>
    <row r="5" customFormat="false" ht="30" hidden="false" customHeight="true" outlineLevel="0" collapsed="false">
      <c r="B5" s="6" t="s">
        <v>79</v>
      </c>
      <c r="C5" s="6" t="s">
        <v>151</v>
      </c>
      <c r="D5" s="6" t="s">
        <v>152</v>
      </c>
      <c r="E5" s="6" t="s">
        <v>153</v>
      </c>
      <c r="F5" s="6" t="s">
        <v>154</v>
      </c>
      <c r="G5" s="6" t="s">
        <v>155</v>
      </c>
      <c r="H5" s="6" t="s">
        <v>156</v>
      </c>
      <c r="I5" s="6" t="s">
        <v>157</v>
      </c>
    </row>
    <row r="6" customFormat="false" ht="15" hidden="false" customHeight="false" outlineLevel="0" collapsed="false">
      <c r="B6" s="34" t="n">
        <v>5000</v>
      </c>
      <c r="C6" s="18" t="n">
        <f aca="false">(0.79*LN(B6)-1.64)^-2</f>
        <v>0.038619472656874</v>
      </c>
      <c r="D6" s="21" t="n">
        <f aca="false">(C6/8)*(B6-1000)*'Fluid Properties'!$C$24/(1+12.7*(C6/8)^0.5*('Fluid Properties'!$C$24^(2/3)-1))</f>
        <v>44.0594945523483</v>
      </c>
      <c r="E6" s="21" t="n">
        <f aca="false">0.023*B6^0.8*'Fluid Properties'!$C$24^0.4</f>
        <v>50.2911752463619</v>
      </c>
      <c r="F6" s="17" t="str">
        <f aca="false">IF('Results Calculator'!L10="","",'Results Calculator'!L10)</f>
        <v/>
      </c>
      <c r="G6" s="40" t="str">
        <f aca="false">IF(F6="","",ABS(F6-D6)/D6)</f>
        <v/>
      </c>
      <c r="H6" s="17" t="str">
        <f aca="false">IF('Results Calculator'!N10="","",'Results Calculator'!N10)</f>
        <v/>
      </c>
      <c r="I6" s="40" t="str">
        <f aca="false">IF(H6="","",ABS(H6-C6)/C6)</f>
        <v/>
      </c>
    </row>
    <row r="7" customFormat="false" ht="15" hidden="false" customHeight="false" outlineLevel="0" collapsed="false">
      <c r="B7" s="34" t="n">
        <v>7500</v>
      </c>
      <c r="C7" s="18" t="n">
        <f aca="false">(0.79*LN(B7)-1.64)^-2</f>
        <v>0.0341807892366533</v>
      </c>
      <c r="D7" s="21" t="n">
        <f aca="false">(C7/8)*(B7-1000)*'Fluid Properties'!$C$24/(1+12.7*(C7/8)^0.5*('Fluid Properties'!$C$24^(2/3)-1))</f>
        <v>66.2919656928927</v>
      </c>
      <c r="E7" s="21" t="n">
        <f aca="false">0.023*B7^0.8*'Fluid Properties'!$C$24^0.4</f>
        <v>69.5608358585765</v>
      </c>
      <c r="F7" s="17" t="str">
        <f aca="false">IF('Results Calculator'!L11="","",'Results Calculator'!L11)</f>
        <v/>
      </c>
      <c r="G7" s="40" t="str">
        <f aca="false">IF(F7="","",ABS(F7-D7)/D7)</f>
        <v/>
      </c>
      <c r="H7" s="17" t="str">
        <f aca="false">IF('Results Calculator'!N11="","",'Results Calculator'!N11)</f>
        <v/>
      </c>
      <c r="I7" s="40" t="str">
        <f aca="false">IF(H7="","",ABS(H7-C7)/C7)</f>
        <v/>
      </c>
    </row>
    <row r="8" customFormat="false" ht="15" hidden="false" customHeight="false" outlineLevel="0" collapsed="false">
      <c r="B8" s="34" t="n">
        <v>10000</v>
      </c>
      <c r="C8" s="18" t="n">
        <f aca="false">(0.79*LN(B8)-1.64)^-2</f>
        <v>0.0314798027567467</v>
      </c>
      <c r="D8" s="21" t="n">
        <f aca="false">(C8/8)*(B8-1000)*'Fluid Properties'!$C$24/(1+12.7*(C8/8)^0.5*('Fluid Properties'!$C$24^(2/3)-1))</f>
        <v>87.1106618657432</v>
      </c>
      <c r="E8" s="21" t="n">
        <f aca="false">0.023*B8^0.8*'Fluid Properties'!$C$24^0.4</f>
        <v>87.5620218790889</v>
      </c>
      <c r="F8" s="17" t="str">
        <f aca="false">IF('Results Calculator'!L12="","",'Results Calculator'!L12)</f>
        <v/>
      </c>
      <c r="G8" s="40" t="str">
        <f aca="false">IF(F8="","",ABS(F8-D8)/D8)</f>
        <v/>
      </c>
      <c r="H8" s="17" t="str">
        <f aca="false">IF('Results Calculator'!N12="","",'Results Calculator'!N12)</f>
        <v/>
      </c>
      <c r="I8" s="40" t="str">
        <f aca="false">IF(H8="","",ABS(H8-C8)/C8)</f>
        <v/>
      </c>
    </row>
    <row r="9" customFormat="false" ht="15" hidden="false" customHeight="false" outlineLevel="0" collapsed="false">
      <c r="B9" s="34" t="n">
        <v>20000</v>
      </c>
      <c r="C9" s="18" t="n">
        <f aca="false">(0.79*LN(B9)-1.64)^-2</f>
        <v>0.0261514291459307</v>
      </c>
      <c r="D9" s="21" t="n">
        <f aca="false">(C9/8)*(B9-1000)*'Fluid Properties'!$C$24/(1+12.7*(C9/8)^0.5*('Fluid Properties'!$C$24^(2/3)-1))</f>
        <v>163.252868010335</v>
      </c>
      <c r="E9" s="21" t="n">
        <f aca="false">0.023*B9^0.8*'Fluid Properties'!$C$24^0.4</f>
        <v>152.454334940377</v>
      </c>
      <c r="F9" s="17" t="str">
        <f aca="false">IF('Results Calculator'!L13="","",'Results Calculator'!L13)</f>
        <v/>
      </c>
      <c r="G9" s="40" t="str">
        <f aca="false">IF(F9="","",ABS(F9-D9)/D9)</f>
        <v/>
      </c>
      <c r="H9" s="17" t="str">
        <f aca="false">IF('Results Calculator'!N13="","",'Results Calculator'!N13)</f>
        <v/>
      </c>
      <c r="I9" s="40" t="str">
        <f aca="false">IF(H9="","",ABS(H9-C9)/C9)</f>
        <v/>
      </c>
    </row>
    <row r="10" customFormat="false" ht="15" hidden="false" customHeight="false" outlineLevel="0" collapsed="false">
      <c r="B10" s="34" t="n">
        <v>30000</v>
      </c>
      <c r="C10" s="18" t="n">
        <f aca="false">(0.79*LN(B10)-1.64)^-2</f>
        <v>0.0236390075372186</v>
      </c>
      <c r="D10" s="21" t="n">
        <f aca="false">(C10/8)*(B10-1000)*'Fluid Properties'!$C$24/(1+12.7*(C10/8)^0.5*('Fluid Properties'!$C$24^(2/3)-1))</f>
        <v>233.351058406506</v>
      </c>
      <c r="E10" s="21" t="n">
        <f aca="false">0.023*B10^0.8*'Fluid Properties'!$C$24^0.4</f>
        <v>210.86902258231</v>
      </c>
      <c r="F10" s="17" t="str">
        <f aca="false">IF('Results Calculator'!L14="","",'Results Calculator'!L14)</f>
        <v/>
      </c>
      <c r="G10" s="40" t="str">
        <f aca="false">IF(F10="","",ABS(F10-D10)/D10)</f>
        <v/>
      </c>
      <c r="H10" s="17" t="str">
        <f aca="false">IF('Results Calculator'!N14="","",'Results Calculator'!N14)</f>
        <v/>
      </c>
      <c r="I10" s="40" t="str">
        <f aca="false">IF(H10="","",ABS(H10-C10)/C10)</f>
        <v/>
      </c>
    </row>
    <row r="11" customFormat="false" ht="15" hidden="false" customHeight="false" outlineLevel="0" collapsed="false">
      <c r="B11" s="34" t="n">
        <v>50000</v>
      </c>
      <c r="C11" s="18" t="n">
        <f aca="false">(0.79*LN(B11)-1.64)^-2</f>
        <v>0.0209576466731264</v>
      </c>
      <c r="D11" s="21" t="n">
        <f aca="false">(C11/8)*(B11-1000)*'Fluid Properties'!$C$24/(1+12.7*(C11/8)^0.5*('Fluid Properties'!$C$24^(2/3)-1))</f>
        <v>364.364130971609</v>
      </c>
      <c r="E11" s="21" t="n">
        <f aca="false">0.023*B11^0.8*'Fluid Properties'!$C$24^0.4</f>
        <v>317.315863842325</v>
      </c>
      <c r="F11" s="17" t="str">
        <f aca="false">IF('Results Calculator'!L15="","",'Results Calculator'!L15)</f>
        <v/>
      </c>
      <c r="G11" s="40" t="str">
        <f aca="false">IF(F11="","",ABS(F11-D11)/D11)</f>
        <v/>
      </c>
      <c r="H11" s="17" t="str">
        <f aca="false">IF('Results Calculator'!N15="","",'Results Calculator'!N15)</f>
        <v/>
      </c>
      <c r="I11" s="40" t="str">
        <f aca="false">IF(H11="","",ABS(H11-C11)/C11)</f>
        <v/>
      </c>
    </row>
    <row r="12" customFormat="false" ht="15" hidden="false" customHeight="false" outlineLevel="0" collapsed="false">
      <c r="B12" s="34" t="n">
        <v>70000</v>
      </c>
      <c r="C12" s="18" t="n">
        <f aca="false">(0.79*LN(B12)-1.64)^-2</f>
        <v>0.0194332444015887</v>
      </c>
      <c r="D12" s="21" t="n">
        <f aca="false">(C12/8)*(B12-1000)*'Fluid Properties'!$C$24/(1+12.7*(C12/8)^0.5*('Fluid Properties'!$C$24^(2/3)-1))</f>
        <v>488.109887480463</v>
      </c>
      <c r="E12" s="21" t="n">
        <f aca="false">0.023*B12^0.8*'Fluid Properties'!$C$24^0.4</f>
        <v>415.330871372776</v>
      </c>
      <c r="F12" s="17" t="str">
        <f aca="false">IF('Results Calculator'!L16="","",'Results Calculator'!L16)</f>
        <v/>
      </c>
      <c r="G12" s="40" t="str">
        <f aca="false">IF(F12="","",ABS(F12-D12)/D12)</f>
        <v/>
      </c>
      <c r="H12" s="17" t="str">
        <f aca="false">IF('Results Calculator'!N16="","",'Results Calculator'!N16)</f>
        <v/>
      </c>
      <c r="I12" s="40" t="str">
        <f aca="false">IF(H12="","",ABS(H12-C12)/C12)</f>
        <v/>
      </c>
    </row>
    <row r="13" customFormat="false" ht="15" hidden="false" customHeight="false" outlineLevel="0" collapsed="false">
      <c r="B13" s="34" t="n">
        <v>100000</v>
      </c>
      <c r="C13" s="18" t="n">
        <f aca="false">(0.79*LN(B13)-1.64)^-2</f>
        <v>0.0179920275442123</v>
      </c>
      <c r="D13" s="21" t="n">
        <f aca="false">(C13/8)*(B13-1000)*'Fluid Properties'!$C$24/(1+12.7*(C13/8)^0.5*('Fluid Properties'!$C$24^(2/3)-1))</f>
        <v>665.351486902314</v>
      </c>
      <c r="E13" s="21" t="n">
        <f aca="false">0.023*B13^0.8*'Fluid Properties'!$C$24^0.4</f>
        <v>552.479008021465</v>
      </c>
      <c r="F13" s="17" t="str">
        <f aca="false">IF('Results Calculator'!L17="","",'Results Calculator'!L17)</f>
        <v/>
      </c>
      <c r="G13" s="40" t="str">
        <f aca="false">IF(F13="","",ABS(F13-D13)/D13)</f>
        <v/>
      </c>
      <c r="H13" s="17" t="str">
        <f aca="false">IF('Results Calculator'!N17="","",'Results Calculator'!N17)</f>
        <v/>
      </c>
      <c r="I13" s="40" t="str">
        <f aca="false">IF(H13="","",ABS(H13-C13)/C13)</f>
        <v/>
      </c>
    </row>
    <row r="15" customFormat="false" ht="54.75" hidden="false" customHeight="true" outlineLevel="0" collapsed="false">
      <c r="B15" s="12" t="s">
        <v>158</v>
      </c>
      <c r="C15" s="12"/>
      <c r="D15" s="12"/>
      <c r="E15" s="12"/>
      <c r="F15" s="12"/>
      <c r="G15" s="12"/>
      <c r="H15" s="12"/>
      <c r="I15" s="12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17.35" hidden="false" customHeight="false" outlineLevel="0" collapsed="false">
      <c r="B2" s="1" t="s">
        <v>159</v>
      </c>
    </row>
    <row r="3" customFormat="false" ht="39.75" hidden="false" customHeight="true" outlineLevel="0" collapsed="false">
      <c r="B3" s="12" t="s">
        <v>160</v>
      </c>
      <c r="C3" s="12"/>
      <c r="D3" s="12"/>
      <c r="E3" s="12"/>
    </row>
    <row r="5" customFormat="false" ht="15" hidden="false" customHeight="false" outlineLevel="0" collapsed="false">
      <c r="B5" s="7" t="s">
        <v>161</v>
      </c>
      <c r="C5" s="34" t="n">
        <v>100000</v>
      </c>
    </row>
    <row r="7" customFormat="false" ht="15" hidden="false" customHeight="false" outlineLevel="0" collapsed="false">
      <c r="B7" s="41" t="s">
        <v>162</v>
      </c>
      <c r="C7" s="41"/>
      <c r="D7" s="41"/>
      <c r="E7" s="41"/>
    </row>
    <row r="8" customFormat="false" ht="15" hidden="false" customHeight="false" outlineLevel="0" collapsed="false">
      <c r="B8" s="7" t="s">
        <v>163</v>
      </c>
      <c r="C8" s="42" t="n">
        <v>5000</v>
      </c>
    </row>
    <row r="10" customFormat="false" ht="30" hidden="false" customHeight="true" outlineLevel="0" collapsed="false">
      <c r="B10" s="6" t="s">
        <v>30</v>
      </c>
      <c r="C10" s="6" t="s">
        <v>164</v>
      </c>
      <c r="D10" s="6" t="s">
        <v>165</v>
      </c>
      <c r="E10" s="6" t="s">
        <v>166</v>
      </c>
    </row>
    <row r="11" customFormat="false" ht="15" hidden="false" customHeight="false" outlineLevel="0" collapsed="false">
      <c r="B11" s="7" t="s">
        <v>167</v>
      </c>
      <c r="C11" s="43" t="str">
        <f aca="false">IF('Results Calculator'!E6="","",'Results Calculator'!E6)</f>
        <v/>
      </c>
      <c r="D11" s="43" t="str">
        <f aca="false">IF('Results Calculator'!E7="","",'Results Calculator'!E7)</f>
        <v/>
      </c>
      <c r="E11" s="43" t="n">
        <f aca="false">IF('Results Calculator'!E8="","",'Results Calculator'!E8)</f>
        <v>500.93989</v>
      </c>
    </row>
    <row r="12" customFormat="false" ht="15" hidden="false" customHeight="false" outlineLevel="0" collapsed="false">
      <c r="B12" s="7" t="s">
        <v>168</v>
      </c>
      <c r="C12" s="43" t="str">
        <f aca="false">IF('Results Calculator'!F6="","",'Results Calculator'!F6)</f>
        <v/>
      </c>
      <c r="D12" s="43" t="str">
        <f aca="false">IF('Results Calculator'!F7="","",'Results Calculator'!F7)</f>
        <v/>
      </c>
      <c r="E12" s="43" t="n">
        <f aca="false">IF('Results Calculator'!F8="","",'Results Calculator'!F8)</f>
        <v>506.45377</v>
      </c>
    </row>
    <row r="13" customFormat="false" ht="15" hidden="false" customHeight="false" outlineLevel="0" collapsed="false">
      <c r="B13" s="7" t="s">
        <v>169</v>
      </c>
      <c r="C13" s="44" t="str">
        <f aca="false">IF('Results Calculator'!G6="","",'Results Calculator'!G6)</f>
        <v/>
      </c>
      <c r="D13" s="44" t="str">
        <f aca="false">IF('Results Calculator'!G7="","",'Results Calculator'!G7)</f>
        <v/>
      </c>
      <c r="E13" s="44" t="n">
        <f aca="false">IF('Results Calculator'!G8="","",'Results Calculator'!G8)</f>
        <v>368.57945</v>
      </c>
    </row>
    <row r="14" customFormat="false" ht="15" hidden="false" customHeight="false" outlineLevel="0" collapsed="false">
      <c r="B14" s="7" t="s">
        <v>170</v>
      </c>
      <c r="C14" s="44" t="str">
        <f aca="false">IF('Results Calculator'!H6="","",'Results Calculator'!H6)</f>
        <v/>
      </c>
      <c r="D14" s="44" t="str">
        <f aca="false">IF('Results Calculator'!H7="","",'Results Calculator'!H7)</f>
        <v/>
      </c>
      <c r="E14" s="44" t="n">
        <f aca="false">IF('Results Calculator'!H8="","",'Results Calculator'!H8)</f>
        <v>0</v>
      </c>
    </row>
    <row r="16" customFormat="false" ht="15" hidden="false" customHeight="false" outlineLevel="0" collapsed="false">
      <c r="B16" s="7" t="s">
        <v>171</v>
      </c>
      <c r="C16" s="18" t="str">
        <f aca="false">IF(C11="","",(Inputs!$C$10+C11)/2)</f>
        <v/>
      </c>
      <c r="D16" s="18" t="str">
        <f aca="false">IF(D11="","",(Inputs!$C$10+D11)/2)</f>
        <v/>
      </c>
      <c r="E16" s="18" t="n">
        <f aca="false">IF(E11="","",(Inputs!$C$10+E11)/2)</f>
        <v>500.469945</v>
      </c>
    </row>
    <row r="17" customFormat="false" ht="15" hidden="false" customHeight="false" outlineLevel="0" collapsed="false">
      <c r="B17" s="7" t="s">
        <v>172</v>
      </c>
      <c r="C17" s="21" t="str">
        <f aca="false">IF(OR(C12="",C16=""),"",$C$8/(C12-C16))</f>
        <v/>
      </c>
      <c r="D17" s="21" t="str">
        <f aca="false">IF(OR(D12="",D16=""),"",$C$8/(D12-D16))</f>
        <v/>
      </c>
      <c r="E17" s="21" t="n">
        <f aca="false">IF(OR(E12="",E16=""),"",$C$8/(E12-E16))</f>
        <v>835.585933746388</v>
      </c>
    </row>
    <row r="18" customFormat="false" ht="15" hidden="false" customHeight="false" outlineLevel="0" collapsed="false">
      <c r="B18" s="3" t="s">
        <v>173</v>
      </c>
      <c r="C18" s="38" t="str">
        <f aca="false">IF(C17="","",C17*Inputs!$C$6/'Fluid Properties'!$C$19)</f>
        <v/>
      </c>
      <c r="D18" s="38" t="str">
        <f aca="false">IF(D17="","",D17*Inputs!$C$6/'Fluid Properties'!$C$19)</f>
        <v/>
      </c>
      <c r="E18" s="38" t="n">
        <f aca="false">IF(E17="","",E17*Inputs!$C$6/'Fluid Properties'!$C$19)</f>
        <v>511.687650793869</v>
      </c>
    </row>
    <row r="19" customFormat="false" ht="15" hidden="false" customHeight="false" outlineLevel="0" collapsed="false">
      <c r="B19" s="7" t="s">
        <v>174</v>
      </c>
      <c r="C19" s="18" t="str">
        <f aca="false">IF(OR(C13="",C14=""),"",C13-C14)</f>
        <v/>
      </c>
      <c r="D19" s="18" t="str">
        <f aca="false">IF(OR(D13="",D14=""),"",D13-D14)</f>
        <v/>
      </c>
      <c r="E19" s="18" t="n">
        <f aca="false">IF(OR(E13="",E14=""),"",E13-E14)</f>
        <v>368.57945</v>
      </c>
    </row>
    <row r="20" customFormat="false" ht="15" hidden="false" customHeight="false" outlineLevel="0" collapsed="false">
      <c r="B20" s="3" t="s">
        <v>175</v>
      </c>
      <c r="C20" s="39" t="str">
        <f aca="false">IF(C19="","",2*C19*Inputs!$C$6/(Inputs!$C$7*'Fluid Properties'!$C$17*'YPlus Inflation'!$D$10^2))</f>
        <v/>
      </c>
      <c r="D20" s="39" t="str">
        <f aca="false">IF(D19="","",2*D19*Inputs!$C$6/(Inputs!$C$7*'Fluid Properties'!$C$17*'YPlus Inflation'!$D$10^2))</f>
        <v/>
      </c>
      <c r="E20" s="39" t="n">
        <f aca="false">IF(E19="","",2*E19*Inputs!$C$6/(Inputs!$C$7*'Fluid Properties'!$C$17*'YPlus Inflation'!$D$10^2))</f>
        <v>0.0172303048932932</v>
      </c>
    </row>
    <row r="21" customFormat="false" ht="30" hidden="false" customHeight="true" outlineLevel="0" collapsed="false">
      <c r="B21" s="12" t="s">
        <v>176</v>
      </c>
      <c r="C21" s="12"/>
      <c r="D21" s="12"/>
      <c r="E21" s="12"/>
    </row>
    <row r="23" customFormat="false" ht="15" hidden="false" customHeight="false" outlineLevel="0" collapsed="false">
      <c r="B23" s="41" t="s">
        <v>177</v>
      </c>
      <c r="C23" s="41"/>
      <c r="D23" s="41"/>
      <c r="E23" s="41"/>
    </row>
    <row r="24" customFormat="false" ht="30" hidden="false" customHeight="true" outlineLevel="0" collapsed="false">
      <c r="B24" s="6" t="s">
        <v>30</v>
      </c>
      <c r="C24" s="6" t="s">
        <v>164</v>
      </c>
      <c r="D24" s="6" t="s">
        <v>165</v>
      </c>
      <c r="E24" s="6" t="s">
        <v>166</v>
      </c>
    </row>
    <row r="25" customFormat="false" ht="15" hidden="false" customHeight="false" outlineLevel="0" collapsed="false">
      <c r="B25" s="3" t="s">
        <v>133</v>
      </c>
      <c r="C25" s="17" t="str">
        <f aca="false">IF(C18="","",C18)</f>
        <v/>
      </c>
      <c r="D25" s="17" t="str">
        <f aca="false">IF(D18="","",D18)</f>
        <v/>
      </c>
      <c r="E25" s="17" t="n">
        <f aca="false">IF(E18="","",E18)</f>
        <v>511.687650793869</v>
      </c>
    </row>
    <row r="26" customFormat="false" ht="15" hidden="false" customHeight="false" outlineLevel="0" collapsed="false">
      <c r="B26" s="3" t="s">
        <v>135</v>
      </c>
      <c r="C26" s="43" t="str">
        <f aca="false">IF(C20="","",C20)</f>
        <v/>
      </c>
      <c r="D26" s="43" t="str">
        <f aca="false">IF(D20="","",D20)</f>
        <v/>
      </c>
      <c r="E26" s="43" t="n">
        <f aca="false">IF(E20="","",E20)</f>
        <v>0.0172303048932932</v>
      </c>
    </row>
    <row r="28" customFormat="false" ht="15" hidden="false" customHeight="false" outlineLevel="0" collapsed="false">
      <c r="B28" s="4" t="s">
        <v>178</v>
      </c>
      <c r="C28" s="45" t="str">
        <f aca="false">IF(OR(C25="",D25=""),"",(D25-C25)/C25)</f>
        <v/>
      </c>
      <c r="D28" s="45" t="str">
        <f aca="false">IF(OR(D25="",E25=""),"",(E25-D25)/D25)</f>
        <v/>
      </c>
    </row>
    <row r="29" customFormat="false" ht="15" hidden="false" customHeight="false" outlineLevel="0" collapsed="false">
      <c r="B29" s="4" t="s">
        <v>179</v>
      </c>
      <c r="C29" s="45" t="str">
        <f aca="false">IF(OR(C26="",D26=""),"",(D26-C26)/C26)</f>
        <v/>
      </c>
      <c r="D29" s="45" t="str">
        <f aca="false">IF(OR(D26="",E26=""),"",(E26-D26)/D26)</f>
        <v/>
      </c>
    </row>
    <row r="30" customFormat="false" ht="30" hidden="false" customHeight="true" outlineLevel="0" collapsed="false">
      <c r="B30" s="12" t="s">
        <v>180</v>
      </c>
      <c r="C30" s="12"/>
      <c r="D30" s="12"/>
      <c r="E30" s="12"/>
    </row>
    <row r="32" customFormat="false" ht="15" hidden="false" customHeight="false" outlineLevel="0" collapsed="false">
      <c r="B32" s="41" t="s">
        <v>181</v>
      </c>
      <c r="C32" s="41"/>
      <c r="D32" s="41"/>
      <c r="E32" s="41"/>
    </row>
    <row r="33" customFormat="false" ht="30" hidden="false" customHeight="true" outlineLevel="0" collapsed="false">
      <c r="B33" s="6" t="s">
        <v>30</v>
      </c>
      <c r="C33" s="6" t="s">
        <v>164</v>
      </c>
      <c r="D33" s="6" t="s">
        <v>165</v>
      </c>
      <c r="E33" s="6" t="s">
        <v>166</v>
      </c>
    </row>
    <row r="34" customFormat="false" ht="15" hidden="false" customHeight="false" outlineLevel="0" collapsed="false">
      <c r="B34" s="7" t="s">
        <v>182</v>
      </c>
      <c r="C34" s="44" t="n">
        <f aca="false">'Mesh Levels'!$E$29</f>
        <v>3.43167571948627</v>
      </c>
      <c r="D34" s="44" t="n">
        <f aca="false">'Mesh Levels'!$D$29</f>
        <v>4.8393110188735</v>
      </c>
      <c r="E34" s="44" t="n">
        <f aca="false">'Mesh Levels'!$C$29</f>
        <v>6.72473347933769</v>
      </c>
    </row>
    <row r="35" customFormat="false" ht="15" hidden="false" customHeight="false" outlineLevel="0" collapsed="false">
      <c r="B35" s="7" t="s">
        <v>183</v>
      </c>
      <c r="C35" s="43" t="str">
        <f aca="false">IF(C18="","",C18)</f>
        <v/>
      </c>
      <c r="D35" s="43" t="str">
        <f aca="false">IF(D18="","",D18)</f>
        <v/>
      </c>
      <c r="E35" s="43" t="n">
        <f aca="false">IF(E18="","",E18)</f>
        <v>511.687650793869</v>
      </c>
    </row>
    <row r="37" customFormat="false" ht="15" hidden="false" customHeight="false" outlineLevel="0" collapsed="false">
      <c r="B37" s="7" t="s">
        <v>184</v>
      </c>
      <c r="C37" s="26" t="n">
        <f aca="false">D34/C34</f>
        <v>1.41018890316302</v>
      </c>
    </row>
    <row r="38" customFormat="false" ht="15" hidden="false" customHeight="false" outlineLevel="0" collapsed="false">
      <c r="B38" s="7" t="s">
        <v>185</v>
      </c>
      <c r="C38" s="26" t="n">
        <f aca="false">E34/D34</f>
        <v>1.3896055560618</v>
      </c>
    </row>
    <row r="39" customFormat="false" ht="15" hidden="false" customHeight="false" outlineLevel="0" collapsed="false">
      <c r="B39" s="7" t="s">
        <v>186</v>
      </c>
      <c r="C39" s="18" t="str">
        <f aca="false">IF(OR(C35="",D35=""),"",D35-C35)</f>
        <v/>
      </c>
    </row>
    <row r="40" customFormat="false" ht="15" hidden="false" customHeight="false" outlineLevel="0" collapsed="false">
      <c r="B40" s="7" t="s">
        <v>187</v>
      </c>
      <c r="C40" s="18" t="str">
        <f aca="false">IF(OR(D35="",E35=""),"",E35-D35)</f>
        <v/>
      </c>
    </row>
    <row r="41" customFormat="false" ht="27.75" hidden="false" customHeight="true" outlineLevel="0" collapsed="false">
      <c r="B41" s="4" t="s">
        <v>188</v>
      </c>
      <c r="C41" s="26" t="str">
        <f aca="false">IF(OR(C39="",C40=""),"",LN(ABS(C40/C39))/LN(C37))</f>
        <v/>
      </c>
    </row>
    <row r="42" customFormat="false" ht="27.75" hidden="false" customHeight="true" outlineLevel="0" collapsed="false">
      <c r="B42" s="4" t="s">
        <v>189</v>
      </c>
      <c r="C42" s="18" t="str">
        <f aca="false">IF(C41="","",(C37^C41*C35-D35)/(C37^C41-1))</f>
        <v/>
      </c>
    </row>
    <row r="43" customFormat="false" ht="15" hidden="false" customHeight="false" outlineLevel="0" collapsed="false">
      <c r="B43" s="7" t="s">
        <v>190</v>
      </c>
      <c r="C43" s="45" t="str">
        <f aca="false">IF(OR(C35="",D35=""),"",ABS((C35-D35)/C35))</f>
        <v/>
      </c>
    </row>
    <row r="44" customFormat="false" ht="15" hidden="false" customHeight="false" outlineLevel="0" collapsed="false">
      <c r="B44" s="7" t="s">
        <v>191</v>
      </c>
      <c r="C44" s="45" t="str">
        <f aca="false">IF(C42="","",ABS((C42-C35)/C42))</f>
        <v/>
      </c>
    </row>
    <row r="45" customFormat="false" ht="15" hidden="false" customHeight="false" outlineLevel="0" collapsed="false">
      <c r="B45" s="3" t="s">
        <v>192</v>
      </c>
      <c r="C45" s="46" t="str">
        <f aca="false">IF(OR(C41="",C43=""),"",1.25*C43/(C37^C41-1))</f>
        <v/>
      </c>
    </row>
    <row r="46" customFormat="false" ht="30" hidden="false" customHeight="true" outlineLevel="0" collapsed="false">
      <c r="B46" s="12" t="s">
        <v>193</v>
      </c>
      <c r="C46" s="12"/>
      <c r="D46" s="12"/>
      <c r="E46" s="12"/>
    </row>
    <row r="48" customFormat="false" ht="15" hidden="false" customHeight="false" outlineLevel="0" collapsed="false">
      <c r="B48" s="41" t="s">
        <v>194</v>
      </c>
      <c r="C48" s="41"/>
      <c r="D48" s="41"/>
      <c r="E48" s="41"/>
    </row>
    <row r="49" customFormat="false" ht="30" hidden="false" customHeight="true" outlineLevel="0" collapsed="false">
      <c r="B49" s="6" t="s">
        <v>30</v>
      </c>
      <c r="C49" s="6" t="s">
        <v>164</v>
      </c>
      <c r="D49" s="6" t="s">
        <v>165</v>
      </c>
      <c r="E49" s="6" t="s">
        <v>166</v>
      </c>
    </row>
    <row r="50" customFormat="false" ht="15" hidden="false" customHeight="false" outlineLevel="0" collapsed="false">
      <c r="B50" s="7" t="s">
        <v>182</v>
      </c>
      <c r="C50" s="44" t="n">
        <f aca="false">'Mesh Levels'!$E$29</f>
        <v>3.43167571948627</v>
      </c>
      <c r="D50" s="44" t="n">
        <f aca="false">'Mesh Levels'!$D$29</f>
        <v>4.8393110188735</v>
      </c>
      <c r="E50" s="44" t="n">
        <f aca="false">'Mesh Levels'!$C$29</f>
        <v>6.72473347933769</v>
      </c>
    </row>
    <row r="51" customFormat="false" ht="15" hidden="false" customHeight="false" outlineLevel="0" collapsed="false">
      <c r="B51" s="7" t="s">
        <v>195</v>
      </c>
      <c r="C51" s="43" t="str">
        <f aca="false">IF(C20="","",C20)</f>
        <v/>
      </c>
      <c r="D51" s="43" t="str">
        <f aca="false">IF(D20="","",D20)</f>
        <v/>
      </c>
      <c r="E51" s="43" t="n">
        <f aca="false">IF(E20="","",E20)</f>
        <v>0.0172303048932932</v>
      </c>
    </row>
    <row r="53" customFormat="false" ht="15" hidden="false" customHeight="false" outlineLevel="0" collapsed="false">
      <c r="B53" s="7" t="s">
        <v>184</v>
      </c>
      <c r="C53" s="26" t="n">
        <f aca="false">D50/C50</f>
        <v>1.41018890316302</v>
      </c>
    </row>
    <row r="54" customFormat="false" ht="15" hidden="false" customHeight="false" outlineLevel="0" collapsed="false">
      <c r="B54" s="7" t="s">
        <v>185</v>
      </c>
      <c r="C54" s="26" t="n">
        <f aca="false">E50/D50</f>
        <v>1.3896055560618</v>
      </c>
    </row>
    <row r="55" customFormat="false" ht="15" hidden="false" customHeight="false" outlineLevel="0" collapsed="false">
      <c r="B55" s="7" t="s">
        <v>186</v>
      </c>
      <c r="C55" s="18" t="str">
        <f aca="false">IF(OR(C51="",D51=""),"",D51-C51)</f>
        <v/>
      </c>
    </row>
    <row r="56" customFormat="false" ht="15" hidden="false" customHeight="false" outlineLevel="0" collapsed="false">
      <c r="B56" s="7" t="s">
        <v>187</v>
      </c>
      <c r="C56" s="18" t="str">
        <f aca="false">IF(OR(D51="",E51=""),"",E51-D51)</f>
        <v/>
      </c>
    </row>
    <row r="57" customFormat="false" ht="27.75" hidden="false" customHeight="true" outlineLevel="0" collapsed="false">
      <c r="B57" s="4" t="s">
        <v>188</v>
      </c>
      <c r="C57" s="26" t="str">
        <f aca="false">IF(OR(C55="",C56=""),"",LN(ABS(C56/C55))/LN(C53))</f>
        <v/>
      </c>
    </row>
    <row r="58" customFormat="false" ht="27.75" hidden="false" customHeight="true" outlineLevel="0" collapsed="false">
      <c r="B58" s="4" t="s">
        <v>189</v>
      </c>
      <c r="C58" s="18" t="str">
        <f aca="false">IF(C57="","",(C53^C57*C51-D51)/(C53^C57-1))</f>
        <v/>
      </c>
    </row>
    <row r="59" customFormat="false" ht="15" hidden="false" customHeight="false" outlineLevel="0" collapsed="false">
      <c r="B59" s="7" t="s">
        <v>190</v>
      </c>
      <c r="C59" s="45" t="str">
        <f aca="false">IF(OR(C51="",D51=""),"",ABS((C51-D51)/C51))</f>
        <v/>
      </c>
    </row>
    <row r="60" customFormat="false" ht="15" hidden="false" customHeight="false" outlineLevel="0" collapsed="false">
      <c r="B60" s="7" t="s">
        <v>191</v>
      </c>
      <c r="C60" s="45" t="str">
        <f aca="false">IF(C58="","",ABS((C58-C51)/C58))</f>
        <v/>
      </c>
    </row>
    <row r="61" customFormat="false" ht="15" hidden="false" customHeight="false" outlineLevel="0" collapsed="false">
      <c r="B61" s="3" t="s">
        <v>192</v>
      </c>
      <c r="C61" s="46" t="str">
        <f aca="false">IF(OR(C57="",C59=""),"",1.25*C59/(C53^C57-1))</f>
        <v/>
      </c>
    </row>
    <row r="62" customFormat="false" ht="30" hidden="false" customHeight="true" outlineLevel="0" collapsed="false">
      <c r="B62" s="12" t="s">
        <v>193</v>
      </c>
      <c r="C62" s="12"/>
      <c r="D62" s="12"/>
      <c r="E62" s="12"/>
    </row>
  </sheetData>
  <mergeCells count="9">
    <mergeCell ref="B3:E3"/>
    <mergeCell ref="B7:E7"/>
    <mergeCell ref="B21:E21"/>
    <mergeCell ref="B23:E23"/>
    <mergeCell ref="B30:E30"/>
    <mergeCell ref="B32:E32"/>
    <mergeCell ref="B46:E46"/>
    <mergeCell ref="B48:E48"/>
    <mergeCell ref="B62:E62"/>
  </mergeCells>
  <conditionalFormatting sqref="C45">
    <cfRule type="cellIs" priority="2" operator="lessThanOrEqual" aboveAverage="0" equalAverage="0" bottom="0" percent="0" rank="0" text="" dxfId="0">
      <formula>0.01</formula>
    </cfRule>
    <cfRule type="cellIs" priority="3" operator="greaterThan" aboveAverage="0" equalAverage="0" bottom="0" percent="0" rank="0" text="" dxfId="1">
      <formula>0.01</formula>
    </cfRule>
  </conditionalFormatting>
  <conditionalFormatting sqref="C61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3"/>
  </cols>
  <sheetData>
    <row r="2" customFormat="false" ht="17.35" hidden="false" customHeight="false" outlineLevel="0" collapsed="false">
      <c r="B2" s="1" t="s">
        <v>196</v>
      </c>
    </row>
    <row r="3" customFormat="false" ht="30" hidden="false" customHeight="true" outlineLevel="0" collapsed="false">
      <c r="B3" s="12" t="s">
        <v>197</v>
      </c>
      <c r="C3" s="12"/>
      <c r="D3" s="12"/>
      <c r="E3" s="12"/>
      <c r="F3" s="12"/>
      <c r="G3" s="12"/>
      <c r="H3" s="12"/>
      <c r="I3" s="12"/>
      <c r="J3" s="12"/>
      <c r="K3" s="12"/>
    </row>
    <row r="5" customFormat="false" ht="15" hidden="false" customHeight="false" outlineLevel="0" collapsed="false">
      <c r="B5" s="7" t="s">
        <v>198</v>
      </c>
      <c r="C5" s="11" t="n">
        <v>39.2</v>
      </c>
    </row>
    <row r="7" customFormat="false" ht="30" hidden="false" customHeight="true" outlineLevel="0" collapsed="false">
      <c r="B7" s="6" t="s">
        <v>199</v>
      </c>
      <c r="C7" s="6" t="s">
        <v>200</v>
      </c>
      <c r="D7" s="6" t="s">
        <v>201</v>
      </c>
      <c r="E7" s="6" t="s">
        <v>202</v>
      </c>
      <c r="F7" s="6" t="s">
        <v>203</v>
      </c>
      <c r="G7" s="6" t="s">
        <v>204</v>
      </c>
      <c r="H7" s="6" t="s">
        <v>205</v>
      </c>
      <c r="I7" s="6" t="s">
        <v>206</v>
      </c>
      <c r="J7" s="6" t="s">
        <v>207</v>
      </c>
      <c r="K7" s="6" t="s">
        <v>208</v>
      </c>
    </row>
    <row r="8" customFormat="false" ht="15" hidden="false" customHeight="false" outlineLevel="0" collapsed="false">
      <c r="B8" s="42" t="n">
        <v>1</v>
      </c>
      <c r="C8" s="47" t="n">
        <v>933.7</v>
      </c>
      <c r="D8" s="47" t="n">
        <v>2.6</v>
      </c>
      <c r="E8" s="47" t="n">
        <v>102.2</v>
      </c>
      <c r="F8" s="47" t="n">
        <v>47.7</v>
      </c>
      <c r="G8" s="47" t="n">
        <v>124</v>
      </c>
      <c r="H8" s="29" t="n">
        <v>72.51</v>
      </c>
      <c r="I8" s="48"/>
      <c r="J8" s="48"/>
      <c r="K8" s="40" t="str">
        <f aca="false">IF(J8="","",ABS(J8-H8)/H8)</f>
        <v/>
      </c>
    </row>
    <row r="9" customFormat="false" ht="15" hidden="false" customHeight="false" outlineLevel="0" collapsed="false">
      <c r="B9" s="42" t="n">
        <v>2</v>
      </c>
      <c r="C9" s="47" t="n">
        <v>968.2</v>
      </c>
      <c r="D9" s="47" t="n">
        <v>3.7</v>
      </c>
      <c r="E9" s="47" t="n">
        <v>151</v>
      </c>
      <c r="F9" s="47" t="n">
        <v>47.8</v>
      </c>
      <c r="G9" s="47" t="n">
        <v>173.3</v>
      </c>
      <c r="H9" s="29" t="n">
        <v>70.9</v>
      </c>
      <c r="I9" s="48"/>
      <c r="J9" s="48"/>
      <c r="K9" s="40" t="str">
        <f aca="false">IF(J9="","",ABS(J9-H9)/H9)</f>
        <v/>
      </c>
    </row>
    <row r="10" customFormat="false" ht="15" hidden="false" customHeight="false" outlineLevel="0" collapsed="false">
      <c r="B10" s="42" t="n">
        <v>3</v>
      </c>
      <c r="C10" s="47" t="n">
        <v>982.3</v>
      </c>
      <c r="D10" s="47" t="n">
        <v>2.5</v>
      </c>
      <c r="E10" s="47" t="n">
        <v>197.5</v>
      </c>
      <c r="F10" s="47" t="n">
        <v>49.1</v>
      </c>
      <c r="G10" s="47" t="n">
        <v>219.5</v>
      </c>
      <c r="H10" s="29" t="n">
        <v>70.17</v>
      </c>
      <c r="I10" s="48"/>
      <c r="J10" s="48"/>
      <c r="K10" s="40" t="str">
        <f aca="false">IF(J10="","",ABS(J10-H10)/H10)</f>
        <v/>
      </c>
    </row>
    <row r="11" customFormat="false" ht="15" hidden="false" customHeight="false" outlineLevel="0" collapsed="false">
      <c r="B11" s="42" t="n">
        <v>4</v>
      </c>
      <c r="C11" s="47" t="n">
        <v>906.6</v>
      </c>
      <c r="D11" s="47" t="n">
        <v>3.3</v>
      </c>
      <c r="E11" s="47" t="n">
        <v>250.7</v>
      </c>
      <c r="F11" s="47" t="n">
        <v>54.7</v>
      </c>
      <c r="G11" s="47" t="n">
        <v>269.4</v>
      </c>
      <c r="H11" s="29" t="n">
        <v>70.25</v>
      </c>
      <c r="I11" s="48"/>
      <c r="J11" s="48"/>
      <c r="K11" s="40" t="str">
        <f aca="false">IF(J11="","",ABS(J11-H11)/H11)</f>
        <v/>
      </c>
    </row>
    <row r="12" customFormat="false" ht="15" hidden="false" customHeight="false" outlineLevel="0" collapsed="false">
      <c r="B12" s="42" t="n">
        <v>5</v>
      </c>
      <c r="C12" s="47" t="n">
        <v>937.9</v>
      </c>
      <c r="D12" s="47" t="n">
        <v>1</v>
      </c>
      <c r="E12" s="47" t="n">
        <v>297.8</v>
      </c>
      <c r="F12" s="47" t="n">
        <v>55.5</v>
      </c>
      <c r="G12" s="47" t="n">
        <v>316.9</v>
      </c>
      <c r="H12" s="29" t="n">
        <v>67.98</v>
      </c>
      <c r="I12" s="48"/>
      <c r="J12" s="48"/>
      <c r="K12" s="40" t="str">
        <f aca="false">IF(J12="","",ABS(J12-H12)/H12)</f>
        <v/>
      </c>
    </row>
    <row r="13" customFormat="false" ht="15" hidden="false" customHeight="false" outlineLevel="0" collapsed="false">
      <c r="B13" s="42" t="n">
        <v>6</v>
      </c>
      <c r="C13" s="47" t="n">
        <v>880.6</v>
      </c>
      <c r="D13" s="47" t="n">
        <v>2.9</v>
      </c>
      <c r="E13" s="47" t="n">
        <v>299</v>
      </c>
      <c r="F13" s="47" t="n">
        <v>55.6</v>
      </c>
      <c r="G13" s="47" t="n">
        <v>317.2</v>
      </c>
      <c r="H13" s="29" t="n">
        <v>68.92</v>
      </c>
      <c r="I13" s="48"/>
      <c r="J13" s="48"/>
      <c r="K13" s="40" t="str">
        <f aca="false">IF(J13="","",ABS(J13-H13)/H13)</f>
        <v/>
      </c>
    </row>
    <row r="14" customFormat="false" ht="15" hidden="false" customHeight="false" outlineLevel="0" collapsed="false">
      <c r="B14" s="42" t="n">
        <v>7</v>
      </c>
      <c r="C14" s="47" t="n">
        <v>920.9</v>
      </c>
      <c r="D14" s="47" t="n">
        <v>2.6</v>
      </c>
      <c r="E14" s="47" t="n">
        <v>379.5</v>
      </c>
      <c r="F14" s="47" t="n">
        <v>56.8</v>
      </c>
      <c r="G14" s="47" t="n">
        <v>398</v>
      </c>
      <c r="H14" s="29" t="n">
        <v>62.34</v>
      </c>
      <c r="I14" s="48"/>
      <c r="J14" s="48"/>
      <c r="K14" s="40" t="str">
        <f aca="false">IF(J14="","",ABS(J14-H14)/H14)</f>
        <v/>
      </c>
    </row>
    <row r="15" customFormat="false" ht="15" hidden="false" customHeight="false" outlineLevel="0" collapsed="false">
      <c r="B15" s="42" t="n">
        <v>8</v>
      </c>
      <c r="C15" s="47" t="n">
        <v>903.2</v>
      </c>
      <c r="D15" s="47" t="n">
        <v>4.2</v>
      </c>
      <c r="E15" s="47" t="n">
        <v>355.9</v>
      </c>
      <c r="F15" s="47" t="n">
        <v>56.3</v>
      </c>
      <c r="G15" s="47" t="n">
        <v>374</v>
      </c>
      <c r="H15" s="29" t="n">
        <v>63.82</v>
      </c>
      <c r="I15" s="48"/>
      <c r="J15" s="48"/>
      <c r="K15" s="40" t="str">
        <f aca="false">IF(J15="","",ABS(J15-H15)/H15)</f>
        <v/>
      </c>
    </row>
    <row r="16" customFormat="false" ht="15" hidden="false" customHeight="false" outlineLevel="0" collapsed="false">
      <c r="B16" s="42" t="n">
        <v>9</v>
      </c>
      <c r="C16" s="47" t="n">
        <v>920.9</v>
      </c>
      <c r="D16" s="47" t="n">
        <v>2.6</v>
      </c>
      <c r="E16" s="47" t="n">
        <v>379.5</v>
      </c>
      <c r="F16" s="47" t="n">
        <v>56.8</v>
      </c>
      <c r="G16" s="47" t="n">
        <v>398</v>
      </c>
      <c r="H16" s="29" t="n">
        <v>62.34</v>
      </c>
      <c r="I16" s="48"/>
      <c r="J16" s="48"/>
      <c r="K16" s="40" t="str">
        <f aca="false">IF(J16="","",ABS(J16-H16)/H16)</f>
        <v/>
      </c>
    </row>
    <row r="18" customFormat="false" ht="45" hidden="false" customHeight="true" outlineLevel="0" collapsed="false">
      <c r="B18" s="12" t="s">
        <v>209</v>
      </c>
      <c r="C18" s="12"/>
      <c r="D18" s="12"/>
      <c r="E18" s="12"/>
      <c r="F18" s="12"/>
      <c r="G18" s="12"/>
      <c r="H18" s="12"/>
      <c r="I18" s="12"/>
      <c r="J18" s="12"/>
      <c r="K18" s="12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11" min="8" style="0" width="8"/>
    <col collapsed="false" customWidth="true" hidden="false" outlineLevel="0" max="14" min="12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3"/>
  </cols>
  <sheetData>
    <row r="2" customFormat="false" ht="17.35" hidden="false" customHeight="false" outlineLevel="0" collapsed="false">
      <c r="B2" s="1" t="s">
        <v>210</v>
      </c>
    </row>
    <row r="3" customFormat="false" ht="39.75" hidden="false" customHeight="true" outlineLevel="0" collapsed="false">
      <c r="B3" s="12" t="s">
        <v>211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</row>
    <row r="5" customFormat="false" ht="23.85" hidden="false" customHeight="true" outlineLevel="0" collapsed="false">
      <c r="B5" s="49" t="s">
        <v>212</v>
      </c>
      <c r="C5" s="49"/>
      <c r="D5" s="49"/>
      <c r="E5" s="49"/>
      <c r="F5" s="49"/>
      <c r="G5" s="48"/>
    </row>
    <row r="6" customFormat="false" ht="23.85" hidden="false" customHeight="true" outlineLevel="0" collapsed="false">
      <c r="B6" s="49" t="s">
        <v>213</v>
      </c>
      <c r="C6" s="49"/>
      <c r="D6" s="49"/>
      <c r="E6" s="49"/>
      <c r="F6" s="49"/>
      <c r="G6" s="48"/>
    </row>
    <row r="8" customFormat="false" ht="30" hidden="false" customHeight="true" outlineLevel="0" collapsed="false">
      <c r="B8" s="6" t="s">
        <v>124</v>
      </c>
      <c r="C8" s="6" t="s">
        <v>214</v>
      </c>
      <c r="D8" s="6" t="s">
        <v>215</v>
      </c>
      <c r="E8" s="6" t="s">
        <v>216</v>
      </c>
      <c r="F8" s="6" t="s">
        <v>217</v>
      </c>
      <c r="G8" s="6" t="s">
        <v>218</v>
      </c>
      <c r="H8" s="6" t="s">
        <v>219</v>
      </c>
      <c r="I8" s="6" t="s">
        <v>220</v>
      </c>
      <c r="J8" s="6" t="s">
        <v>221</v>
      </c>
      <c r="K8" s="6" t="s">
        <v>222</v>
      </c>
      <c r="L8" s="6" t="s">
        <v>223</v>
      </c>
      <c r="M8" s="6" t="s">
        <v>224</v>
      </c>
      <c r="N8" s="6" t="s">
        <v>225</v>
      </c>
      <c r="O8" s="6" t="s">
        <v>226</v>
      </c>
      <c r="P8" s="6" t="s">
        <v>227</v>
      </c>
      <c r="Q8" s="6" t="s">
        <v>228</v>
      </c>
      <c r="R8" s="6" t="s">
        <v>229</v>
      </c>
    </row>
    <row r="9" customFormat="false" ht="15" hidden="false" customHeight="false" outlineLevel="0" collapsed="false">
      <c r="B9" s="42" t="n">
        <v>1</v>
      </c>
      <c r="C9" s="29" t="n">
        <v>3.03</v>
      </c>
      <c r="D9" s="29" t="n">
        <v>0.23</v>
      </c>
      <c r="E9" s="29" t="n">
        <v>0.04</v>
      </c>
      <c r="F9" s="11" t="s">
        <v>230</v>
      </c>
      <c r="G9" s="47" t="n">
        <v>0.5</v>
      </c>
      <c r="H9" s="42" t="n">
        <v>200</v>
      </c>
      <c r="I9" s="42" t="n">
        <v>15</v>
      </c>
      <c r="J9" s="47" t="n">
        <v>0.6</v>
      </c>
      <c r="K9" s="47" t="n">
        <v>13.8</v>
      </c>
      <c r="L9" s="48"/>
      <c r="M9" s="48"/>
      <c r="N9" s="26" t="str">
        <f aca="false">IF(OR(L9="",M9="",$G$5="",$G$6=""),"",(L9/$G$5)/(M9/$G$6)^(1/3))</f>
        <v/>
      </c>
      <c r="O9" s="48"/>
      <c r="P9" s="48"/>
      <c r="Q9" s="48"/>
      <c r="R9" s="48"/>
    </row>
    <row r="10" customFormat="false" ht="15" hidden="false" customHeight="false" outlineLevel="0" collapsed="false">
      <c r="B10" s="42" t="n">
        <v>2</v>
      </c>
      <c r="C10" s="29" t="n">
        <v>3.03</v>
      </c>
      <c r="D10" s="29" t="n">
        <v>0.23</v>
      </c>
      <c r="E10" s="29" t="n">
        <v>0.08</v>
      </c>
      <c r="F10" s="11" t="s">
        <v>231</v>
      </c>
      <c r="G10" s="47" t="n">
        <v>1</v>
      </c>
      <c r="H10" s="42" t="n">
        <v>200</v>
      </c>
      <c r="I10" s="42" t="n">
        <v>15</v>
      </c>
      <c r="J10" s="47" t="n">
        <v>1.2</v>
      </c>
      <c r="K10" s="47" t="n">
        <v>12.6</v>
      </c>
      <c r="L10" s="48"/>
      <c r="M10" s="48"/>
      <c r="N10" s="26" t="str">
        <f aca="false">IF(OR(L10="",M10="",$G$5="",$G$6=""),"",(L10/$G$5)/(M10/$G$6)^(1/3))</f>
        <v/>
      </c>
      <c r="O10" s="48"/>
      <c r="P10" s="48"/>
      <c r="Q10" s="48"/>
      <c r="R10" s="48"/>
    </row>
    <row r="11" customFormat="false" ht="15" hidden="false" customHeight="false" outlineLevel="0" collapsed="false">
      <c r="B11" s="42" t="n">
        <v>3</v>
      </c>
      <c r="C11" s="29" t="n">
        <v>3.03</v>
      </c>
      <c r="D11" s="29" t="n">
        <v>0.23</v>
      </c>
      <c r="E11" s="29" t="n">
        <v>0.12</v>
      </c>
      <c r="F11" s="11" t="s">
        <v>232</v>
      </c>
      <c r="G11" s="47" t="n">
        <v>2</v>
      </c>
      <c r="H11" s="42" t="n">
        <v>200</v>
      </c>
      <c r="I11" s="42" t="n">
        <v>15</v>
      </c>
      <c r="J11" s="47" t="n">
        <v>1.8</v>
      </c>
      <c r="K11" s="47" t="n">
        <v>11.4</v>
      </c>
      <c r="L11" s="48"/>
      <c r="M11" s="48"/>
      <c r="N11" s="26" t="str">
        <f aca="false">IF(OR(L11="",M11="",$G$5="",$G$6=""),"",(L11/$G$5)/(M11/$G$6)^(1/3))</f>
        <v/>
      </c>
      <c r="O11" s="48"/>
      <c r="P11" s="48"/>
      <c r="Q11" s="48"/>
      <c r="R11" s="48"/>
    </row>
    <row r="12" customFormat="false" ht="15" hidden="false" customHeight="false" outlineLevel="0" collapsed="false">
      <c r="B12" s="42" t="n">
        <v>4</v>
      </c>
      <c r="C12" s="29" t="n">
        <v>3.03</v>
      </c>
      <c r="D12" s="29" t="n">
        <v>0.38</v>
      </c>
      <c r="E12" s="29" t="n">
        <v>0.04</v>
      </c>
      <c r="F12" s="11" t="s">
        <v>231</v>
      </c>
      <c r="G12" s="47" t="n">
        <v>2</v>
      </c>
      <c r="H12" s="42" t="n">
        <v>200</v>
      </c>
      <c r="I12" s="42" t="n">
        <v>25</v>
      </c>
      <c r="J12" s="47" t="n">
        <v>1</v>
      </c>
      <c r="K12" s="47" t="n">
        <v>23</v>
      </c>
      <c r="L12" s="48"/>
      <c r="M12" s="48"/>
      <c r="N12" s="26" t="str">
        <f aca="false">IF(OR(L12="",M12="",$G$5="",$G$6=""),"",(L12/$G$5)/(M12/$G$6)^(1/3))</f>
        <v/>
      </c>
      <c r="O12" s="48"/>
      <c r="P12" s="48"/>
      <c r="Q12" s="48"/>
      <c r="R12" s="48"/>
    </row>
    <row r="13" customFormat="false" ht="15" hidden="false" customHeight="false" outlineLevel="0" collapsed="false">
      <c r="B13" s="42" t="n">
        <v>5</v>
      </c>
      <c r="C13" s="29" t="n">
        <v>3.03</v>
      </c>
      <c r="D13" s="29" t="n">
        <v>0.38</v>
      </c>
      <c r="E13" s="29" t="n">
        <v>0.08</v>
      </c>
      <c r="F13" s="11" t="s">
        <v>232</v>
      </c>
      <c r="G13" s="47" t="n">
        <v>0.5</v>
      </c>
      <c r="H13" s="42" t="n">
        <v>200</v>
      </c>
      <c r="I13" s="42" t="n">
        <v>25</v>
      </c>
      <c r="J13" s="47" t="n">
        <v>2</v>
      </c>
      <c r="K13" s="47" t="n">
        <v>21</v>
      </c>
      <c r="L13" s="48"/>
      <c r="M13" s="48"/>
      <c r="N13" s="26" t="str">
        <f aca="false">IF(OR(L13="",M13="",$G$5="",$G$6=""),"",(L13/$G$5)/(M13/$G$6)^(1/3))</f>
        <v/>
      </c>
      <c r="O13" s="48"/>
      <c r="P13" s="48"/>
      <c r="Q13" s="48"/>
      <c r="R13" s="48"/>
    </row>
    <row r="14" customFormat="false" ht="15" hidden="false" customHeight="false" outlineLevel="0" collapsed="false">
      <c r="B14" s="42" t="n">
        <v>6</v>
      </c>
      <c r="C14" s="29" t="n">
        <v>3.03</v>
      </c>
      <c r="D14" s="29" t="n">
        <v>0.38</v>
      </c>
      <c r="E14" s="29" t="n">
        <v>0.12</v>
      </c>
      <c r="F14" s="11" t="s">
        <v>230</v>
      </c>
      <c r="G14" s="47" t="n">
        <v>1</v>
      </c>
      <c r="H14" s="42" t="n">
        <v>200</v>
      </c>
      <c r="I14" s="42" t="n">
        <v>25</v>
      </c>
      <c r="J14" s="47" t="n">
        <v>3</v>
      </c>
      <c r="K14" s="47" t="n">
        <v>19</v>
      </c>
      <c r="L14" s="48"/>
      <c r="M14" s="48"/>
      <c r="N14" s="26" t="str">
        <f aca="false">IF(OR(L14="",M14="",$G$5="",$G$6=""),"",(L14/$G$5)/(M14/$G$6)^(1/3))</f>
        <v/>
      </c>
      <c r="O14" s="48"/>
      <c r="P14" s="48"/>
      <c r="Q14" s="48"/>
      <c r="R14" s="48"/>
    </row>
    <row r="15" customFormat="false" ht="15" hidden="false" customHeight="false" outlineLevel="0" collapsed="false">
      <c r="B15" s="42" t="n">
        <v>7</v>
      </c>
      <c r="C15" s="29" t="n">
        <v>3.03</v>
      </c>
      <c r="D15" s="29" t="n">
        <v>0.53</v>
      </c>
      <c r="E15" s="29" t="n">
        <v>0.04</v>
      </c>
      <c r="F15" s="11" t="s">
        <v>232</v>
      </c>
      <c r="G15" s="47" t="n">
        <v>1</v>
      </c>
      <c r="H15" s="42" t="n">
        <v>200</v>
      </c>
      <c r="I15" s="42" t="n">
        <v>35</v>
      </c>
      <c r="J15" s="47" t="n">
        <v>1.4</v>
      </c>
      <c r="K15" s="47" t="n">
        <v>32.2</v>
      </c>
      <c r="L15" s="48"/>
      <c r="M15" s="48"/>
      <c r="N15" s="26" t="str">
        <f aca="false">IF(OR(L15="",M15="",$G$5="",$G$6=""),"",(L15/$G$5)/(M15/$G$6)^(1/3))</f>
        <v/>
      </c>
      <c r="O15" s="48"/>
      <c r="P15" s="48"/>
      <c r="Q15" s="48"/>
      <c r="R15" s="48"/>
    </row>
    <row r="16" customFormat="false" ht="15" hidden="false" customHeight="false" outlineLevel="0" collapsed="false">
      <c r="B16" s="42" t="n">
        <v>8</v>
      </c>
      <c r="C16" s="29" t="n">
        <v>3.03</v>
      </c>
      <c r="D16" s="29" t="n">
        <v>0.53</v>
      </c>
      <c r="E16" s="29" t="n">
        <v>0.08</v>
      </c>
      <c r="F16" s="11" t="s">
        <v>230</v>
      </c>
      <c r="G16" s="47" t="n">
        <v>2</v>
      </c>
      <c r="H16" s="42" t="n">
        <v>200</v>
      </c>
      <c r="I16" s="42" t="n">
        <v>35</v>
      </c>
      <c r="J16" s="47" t="n">
        <v>2.8</v>
      </c>
      <c r="K16" s="47" t="n">
        <v>29.4</v>
      </c>
      <c r="L16" s="48"/>
      <c r="M16" s="48"/>
      <c r="N16" s="26" t="str">
        <f aca="false">IF(OR(L16="",M16="",$G$5="",$G$6=""),"",(L16/$G$5)/(M16/$G$6)^(1/3))</f>
        <v/>
      </c>
      <c r="O16" s="48"/>
      <c r="P16" s="48"/>
      <c r="Q16" s="48"/>
      <c r="R16" s="48"/>
    </row>
    <row r="17" customFormat="false" ht="15" hidden="false" customHeight="false" outlineLevel="0" collapsed="false">
      <c r="B17" s="42" t="n">
        <v>9</v>
      </c>
      <c r="C17" s="29" t="n">
        <v>3.03</v>
      </c>
      <c r="D17" s="29" t="n">
        <v>0.53</v>
      </c>
      <c r="E17" s="29" t="n">
        <v>0.12</v>
      </c>
      <c r="F17" s="11" t="s">
        <v>231</v>
      </c>
      <c r="G17" s="47" t="n">
        <v>0.5</v>
      </c>
      <c r="H17" s="42" t="n">
        <v>200</v>
      </c>
      <c r="I17" s="42" t="n">
        <v>35</v>
      </c>
      <c r="J17" s="47" t="n">
        <v>4.2</v>
      </c>
      <c r="K17" s="47" t="n">
        <v>26.6</v>
      </c>
      <c r="L17" s="48"/>
      <c r="M17" s="48"/>
      <c r="N17" s="26" t="str">
        <f aca="false">IF(OR(L17="",M17="",$G$5="",$G$6=""),"",(L17/$G$5)/(M17/$G$6)^(1/3))</f>
        <v/>
      </c>
      <c r="O17" s="48"/>
      <c r="P17" s="48"/>
      <c r="Q17" s="48"/>
      <c r="R17" s="48"/>
    </row>
    <row r="18" customFormat="false" ht="15" hidden="false" customHeight="false" outlineLevel="0" collapsed="false">
      <c r="B18" s="42" t="n">
        <v>10</v>
      </c>
      <c r="C18" s="29" t="n">
        <v>4.55</v>
      </c>
      <c r="D18" s="29" t="n">
        <v>0.23</v>
      </c>
      <c r="E18" s="29" t="n">
        <v>0.04</v>
      </c>
      <c r="F18" s="11" t="s">
        <v>231</v>
      </c>
      <c r="G18" s="47" t="n">
        <v>1</v>
      </c>
      <c r="H18" s="42" t="n">
        <v>300</v>
      </c>
      <c r="I18" s="42" t="n">
        <v>15</v>
      </c>
      <c r="J18" s="47" t="n">
        <v>0.6</v>
      </c>
      <c r="K18" s="47" t="n">
        <v>13.8</v>
      </c>
      <c r="L18" s="48"/>
      <c r="M18" s="48"/>
      <c r="N18" s="26" t="str">
        <f aca="false">IF(OR(L18="",M18="",$G$5="",$G$6=""),"",(L18/$G$5)/(M18/$G$6)^(1/3))</f>
        <v/>
      </c>
      <c r="O18" s="48"/>
      <c r="P18" s="48"/>
      <c r="Q18" s="48"/>
      <c r="R18" s="48"/>
    </row>
    <row r="19" customFormat="false" ht="15" hidden="false" customHeight="false" outlineLevel="0" collapsed="false">
      <c r="B19" s="42" t="n">
        <v>11</v>
      </c>
      <c r="C19" s="29" t="n">
        <v>4.55</v>
      </c>
      <c r="D19" s="29" t="n">
        <v>0.23</v>
      </c>
      <c r="E19" s="29" t="n">
        <v>0.08</v>
      </c>
      <c r="F19" s="11" t="s">
        <v>232</v>
      </c>
      <c r="G19" s="47" t="n">
        <v>2</v>
      </c>
      <c r="H19" s="42" t="n">
        <v>300</v>
      </c>
      <c r="I19" s="42" t="n">
        <v>15</v>
      </c>
      <c r="J19" s="47" t="n">
        <v>1.2</v>
      </c>
      <c r="K19" s="47" t="n">
        <v>12.6</v>
      </c>
      <c r="L19" s="48"/>
      <c r="M19" s="48"/>
      <c r="N19" s="26" t="str">
        <f aca="false">IF(OR(L19="",M19="",$G$5="",$G$6=""),"",(L19/$G$5)/(M19/$G$6)^(1/3))</f>
        <v/>
      </c>
      <c r="O19" s="48"/>
      <c r="P19" s="48"/>
      <c r="Q19" s="48"/>
      <c r="R19" s="48"/>
    </row>
    <row r="20" customFormat="false" ht="15" hidden="false" customHeight="false" outlineLevel="0" collapsed="false">
      <c r="B20" s="42" t="n">
        <v>12</v>
      </c>
      <c r="C20" s="29" t="n">
        <v>4.55</v>
      </c>
      <c r="D20" s="29" t="n">
        <v>0.23</v>
      </c>
      <c r="E20" s="29" t="n">
        <v>0.12</v>
      </c>
      <c r="F20" s="11" t="s">
        <v>230</v>
      </c>
      <c r="G20" s="47" t="n">
        <v>0.5</v>
      </c>
      <c r="H20" s="42" t="n">
        <v>300</v>
      </c>
      <c r="I20" s="42" t="n">
        <v>15</v>
      </c>
      <c r="J20" s="47" t="n">
        <v>1.8</v>
      </c>
      <c r="K20" s="47" t="n">
        <v>11.4</v>
      </c>
      <c r="L20" s="48"/>
      <c r="M20" s="48"/>
      <c r="N20" s="26" t="str">
        <f aca="false">IF(OR(L20="",M20="",$G$5="",$G$6=""),"",(L20/$G$5)/(M20/$G$6)^(1/3))</f>
        <v/>
      </c>
      <c r="O20" s="48"/>
      <c r="P20" s="48"/>
      <c r="Q20" s="48"/>
      <c r="R20" s="48"/>
    </row>
    <row r="21" customFormat="false" ht="15" hidden="false" customHeight="false" outlineLevel="0" collapsed="false">
      <c r="B21" s="42" t="n">
        <v>13</v>
      </c>
      <c r="C21" s="29" t="n">
        <v>4.55</v>
      </c>
      <c r="D21" s="29" t="n">
        <v>0.38</v>
      </c>
      <c r="E21" s="29" t="n">
        <v>0.04</v>
      </c>
      <c r="F21" s="11" t="s">
        <v>232</v>
      </c>
      <c r="G21" s="47" t="n">
        <v>0.5</v>
      </c>
      <c r="H21" s="42" t="n">
        <v>300</v>
      </c>
      <c r="I21" s="42" t="n">
        <v>25</v>
      </c>
      <c r="J21" s="47" t="n">
        <v>1</v>
      </c>
      <c r="K21" s="47" t="n">
        <v>23</v>
      </c>
      <c r="L21" s="48"/>
      <c r="M21" s="48"/>
      <c r="N21" s="26" t="str">
        <f aca="false">IF(OR(L21="",M21="",$G$5="",$G$6=""),"",(L21/$G$5)/(M21/$G$6)^(1/3))</f>
        <v/>
      </c>
      <c r="O21" s="48"/>
      <c r="P21" s="48"/>
      <c r="Q21" s="48"/>
      <c r="R21" s="48"/>
    </row>
    <row r="22" customFormat="false" ht="15" hidden="false" customHeight="false" outlineLevel="0" collapsed="false">
      <c r="B22" s="42" t="n">
        <v>14</v>
      </c>
      <c r="C22" s="29" t="n">
        <v>4.55</v>
      </c>
      <c r="D22" s="29" t="n">
        <v>0.38</v>
      </c>
      <c r="E22" s="29" t="n">
        <v>0.08</v>
      </c>
      <c r="F22" s="11" t="s">
        <v>230</v>
      </c>
      <c r="G22" s="47" t="n">
        <v>1</v>
      </c>
      <c r="H22" s="42" t="n">
        <v>300</v>
      </c>
      <c r="I22" s="42" t="n">
        <v>25</v>
      </c>
      <c r="J22" s="47" t="n">
        <v>2</v>
      </c>
      <c r="K22" s="47" t="n">
        <v>21</v>
      </c>
      <c r="L22" s="48"/>
      <c r="M22" s="48"/>
      <c r="N22" s="26" t="str">
        <f aca="false">IF(OR(L22="",M22="",$G$5="",$G$6=""),"",(L22/$G$5)/(M22/$G$6)^(1/3))</f>
        <v/>
      </c>
      <c r="O22" s="48"/>
      <c r="P22" s="48"/>
      <c r="Q22" s="48"/>
      <c r="R22" s="48"/>
    </row>
    <row r="23" customFormat="false" ht="15" hidden="false" customHeight="false" outlineLevel="0" collapsed="false">
      <c r="B23" s="42" t="n">
        <v>15</v>
      </c>
      <c r="C23" s="29" t="n">
        <v>4.55</v>
      </c>
      <c r="D23" s="29" t="n">
        <v>0.38</v>
      </c>
      <c r="E23" s="29" t="n">
        <v>0.12</v>
      </c>
      <c r="F23" s="11" t="s">
        <v>231</v>
      </c>
      <c r="G23" s="47" t="n">
        <v>2</v>
      </c>
      <c r="H23" s="42" t="n">
        <v>300</v>
      </c>
      <c r="I23" s="42" t="n">
        <v>25</v>
      </c>
      <c r="J23" s="47" t="n">
        <v>3</v>
      </c>
      <c r="K23" s="47" t="n">
        <v>19</v>
      </c>
      <c r="L23" s="48"/>
      <c r="M23" s="48"/>
      <c r="N23" s="26" t="str">
        <f aca="false">IF(OR(L23="",M23="",$G$5="",$G$6=""),"",(L23/$G$5)/(M23/$G$6)^(1/3))</f>
        <v/>
      </c>
      <c r="O23" s="48"/>
      <c r="P23" s="48"/>
      <c r="Q23" s="48"/>
      <c r="R23" s="48"/>
    </row>
    <row r="24" customFormat="false" ht="15" hidden="false" customHeight="false" outlineLevel="0" collapsed="false">
      <c r="B24" s="42" t="n">
        <v>16</v>
      </c>
      <c r="C24" s="29" t="n">
        <v>4.55</v>
      </c>
      <c r="D24" s="29" t="n">
        <v>0.53</v>
      </c>
      <c r="E24" s="29" t="n">
        <v>0.04</v>
      </c>
      <c r="F24" s="11" t="s">
        <v>230</v>
      </c>
      <c r="G24" s="47" t="n">
        <v>2</v>
      </c>
      <c r="H24" s="42" t="n">
        <v>300</v>
      </c>
      <c r="I24" s="42" t="n">
        <v>35</v>
      </c>
      <c r="J24" s="47" t="n">
        <v>1.4</v>
      </c>
      <c r="K24" s="47" t="n">
        <v>32.2</v>
      </c>
      <c r="L24" s="48"/>
      <c r="M24" s="48"/>
      <c r="N24" s="26" t="str">
        <f aca="false">IF(OR(L24="",M24="",$G$5="",$G$6=""),"",(L24/$G$5)/(M24/$G$6)^(1/3))</f>
        <v/>
      </c>
      <c r="O24" s="48"/>
      <c r="P24" s="48"/>
      <c r="Q24" s="48"/>
      <c r="R24" s="48"/>
    </row>
    <row r="25" customFormat="false" ht="15" hidden="false" customHeight="false" outlineLevel="0" collapsed="false">
      <c r="B25" s="42" t="n">
        <v>17</v>
      </c>
      <c r="C25" s="29" t="n">
        <v>4.55</v>
      </c>
      <c r="D25" s="29" t="n">
        <v>0.53</v>
      </c>
      <c r="E25" s="29" t="n">
        <v>0.08</v>
      </c>
      <c r="F25" s="11" t="s">
        <v>231</v>
      </c>
      <c r="G25" s="47" t="n">
        <v>0.5</v>
      </c>
      <c r="H25" s="42" t="n">
        <v>300</v>
      </c>
      <c r="I25" s="42" t="n">
        <v>35</v>
      </c>
      <c r="J25" s="47" t="n">
        <v>2.8</v>
      </c>
      <c r="K25" s="47" t="n">
        <v>29.4</v>
      </c>
      <c r="L25" s="48"/>
      <c r="M25" s="48"/>
      <c r="N25" s="26" t="str">
        <f aca="false">IF(OR(L25="",M25="",$G$5="",$G$6=""),"",(L25/$G$5)/(M25/$G$6)^(1/3))</f>
        <v/>
      </c>
      <c r="O25" s="48"/>
      <c r="P25" s="48"/>
      <c r="Q25" s="48"/>
      <c r="R25" s="48"/>
    </row>
    <row r="26" customFormat="false" ht="15" hidden="false" customHeight="false" outlineLevel="0" collapsed="false">
      <c r="B26" s="42" t="n">
        <v>18</v>
      </c>
      <c r="C26" s="29" t="n">
        <v>4.55</v>
      </c>
      <c r="D26" s="29" t="n">
        <v>0.53</v>
      </c>
      <c r="E26" s="29" t="n">
        <v>0.12</v>
      </c>
      <c r="F26" s="11" t="s">
        <v>232</v>
      </c>
      <c r="G26" s="47" t="n">
        <v>1</v>
      </c>
      <c r="H26" s="42" t="n">
        <v>300</v>
      </c>
      <c r="I26" s="42" t="n">
        <v>35</v>
      </c>
      <c r="J26" s="47" t="n">
        <v>4.2</v>
      </c>
      <c r="K26" s="47" t="n">
        <v>26.6</v>
      </c>
      <c r="L26" s="48"/>
      <c r="M26" s="48"/>
      <c r="N26" s="26" t="str">
        <f aca="false">IF(OR(L26="",M26="",$G$5="",$G$6=""),"",(L26/$G$5)/(M26/$G$6)^(1/3))</f>
        <v/>
      </c>
      <c r="O26" s="48"/>
      <c r="P26" s="48"/>
      <c r="Q26" s="48"/>
      <c r="R26" s="48"/>
    </row>
    <row r="27" customFormat="false" ht="15" hidden="false" customHeight="false" outlineLevel="0" collapsed="false">
      <c r="B27" s="42" t="n">
        <v>19</v>
      </c>
      <c r="C27" s="29" t="n">
        <v>6.06</v>
      </c>
      <c r="D27" s="29" t="n">
        <v>0.23</v>
      </c>
      <c r="E27" s="29" t="n">
        <v>0.04</v>
      </c>
      <c r="F27" s="11" t="s">
        <v>232</v>
      </c>
      <c r="G27" s="47" t="n">
        <v>2</v>
      </c>
      <c r="H27" s="42" t="n">
        <v>400</v>
      </c>
      <c r="I27" s="42" t="n">
        <v>15</v>
      </c>
      <c r="J27" s="47" t="n">
        <v>0.6</v>
      </c>
      <c r="K27" s="47" t="n">
        <v>13.8</v>
      </c>
      <c r="L27" s="48"/>
      <c r="M27" s="48"/>
      <c r="N27" s="26" t="str">
        <f aca="false">IF(OR(L27="",M27="",$G$5="",$G$6=""),"",(L27/$G$5)/(M27/$G$6)^(1/3))</f>
        <v/>
      </c>
      <c r="O27" s="48"/>
      <c r="P27" s="48"/>
      <c r="Q27" s="48"/>
      <c r="R27" s="48"/>
    </row>
    <row r="28" customFormat="false" ht="15" hidden="false" customHeight="false" outlineLevel="0" collapsed="false">
      <c r="B28" s="42" t="n">
        <v>20</v>
      </c>
      <c r="C28" s="29" t="n">
        <v>6.06</v>
      </c>
      <c r="D28" s="29" t="n">
        <v>0.23</v>
      </c>
      <c r="E28" s="29" t="n">
        <v>0.08</v>
      </c>
      <c r="F28" s="11" t="s">
        <v>230</v>
      </c>
      <c r="G28" s="47" t="n">
        <v>0.5</v>
      </c>
      <c r="H28" s="42" t="n">
        <v>400</v>
      </c>
      <c r="I28" s="42" t="n">
        <v>15</v>
      </c>
      <c r="J28" s="47" t="n">
        <v>1.2</v>
      </c>
      <c r="K28" s="47" t="n">
        <v>12.6</v>
      </c>
      <c r="L28" s="48"/>
      <c r="M28" s="48"/>
      <c r="N28" s="26" t="str">
        <f aca="false">IF(OR(L28="",M28="",$G$5="",$G$6=""),"",(L28/$G$5)/(M28/$G$6)^(1/3))</f>
        <v/>
      </c>
      <c r="O28" s="48"/>
      <c r="P28" s="48"/>
      <c r="Q28" s="48"/>
      <c r="R28" s="48"/>
    </row>
    <row r="29" customFormat="false" ht="15" hidden="false" customHeight="false" outlineLevel="0" collapsed="false">
      <c r="B29" s="42" t="n">
        <v>21</v>
      </c>
      <c r="C29" s="29" t="n">
        <v>6.06</v>
      </c>
      <c r="D29" s="29" t="n">
        <v>0.23</v>
      </c>
      <c r="E29" s="29" t="n">
        <v>0.12</v>
      </c>
      <c r="F29" s="11" t="s">
        <v>231</v>
      </c>
      <c r="G29" s="47" t="n">
        <v>1</v>
      </c>
      <c r="H29" s="42" t="n">
        <v>400</v>
      </c>
      <c r="I29" s="42" t="n">
        <v>15</v>
      </c>
      <c r="J29" s="47" t="n">
        <v>1.8</v>
      </c>
      <c r="K29" s="47" t="n">
        <v>11.4</v>
      </c>
      <c r="L29" s="48"/>
      <c r="M29" s="48"/>
      <c r="N29" s="26" t="str">
        <f aca="false">IF(OR(L29="",M29="",$G$5="",$G$6=""),"",(L29/$G$5)/(M29/$G$6)^(1/3))</f>
        <v/>
      </c>
      <c r="O29" s="48"/>
      <c r="P29" s="48"/>
      <c r="Q29" s="48"/>
      <c r="R29" s="48"/>
    </row>
    <row r="30" customFormat="false" ht="15" hidden="false" customHeight="false" outlineLevel="0" collapsed="false">
      <c r="B30" s="42" t="n">
        <v>22</v>
      </c>
      <c r="C30" s="29" t="n">
        <v>6.06</v>
      </c>
      <c r="D30" s="29" t="n">
        <v>0.38</v>
      </c>
      <c r="E30" s="29" t="n">
        <v>0.04</v>
      </c>
      <c r="F30" s="11" t="s">
        <v>230</v>
      </c>
      <c r="G30" s="47" t="n">
        <v>1</v>
      </c>
      <c r="H30" s="42" t="n">
        <v>400</v>
      </c>
      <c r="I30" s="42" t="n">
        <v>25</v>
      </c>
      <c r="J30" s="47" t="n">
        <v>1</v>
      </c>
      <c r="K30" s="47" t="n">
        <v>23</v>
      </c>
      <c r="L30" s="48"/>
      <c r="M30" s="48"/>
      <c r="N30" s="26" t="str">
        <f aca="false">IF(OR(L30="",M30="",$G$5="",$G$6=""),"",(L30/$G$5)/(M30/$G$6)^(1/3))</f>
        <v/>
      </c>
      <c r="O30" s="48"/>
      <c r="P30" s="48"/>
      <c r="Q30" s="48"/>
      <c r="R30" s="48"/>
    </row>
    <row r="31" customFormat="false" ht="15" hidden="false" customHeight="false" outlineLevel="0" collapsed="false">
      <c r="B31" s="42" t="n">
        <v>23</v>
      </c>
      <c r="C31" s="29" t="n">
        <v>6.06</v>
      </c>
      <c r="D31" s="29" t="n">
        <v>0.38</v>
      </c>
      <c r="E31" s="29" t="n">
        <v>0.08</v>
      </c>
      <c r="F31" s="11" t="s">
        <v>231</v>
      </c>
      <c r="G31" s="47" t="n">
        <v>2</v>
      </c>
      <c r="H31" s="42" t="n">
        <v>400</v>
      </c>
      <c r="I31" s="42" t="n">
        <v>25</v>
      </c>
      <c r="J31" s="47" t="n">
        <v>2</v>
      </c>
      <c r="K31" s="47" t="n">
        <v>21</v>
      </c>
      <c r="L31" s="48"/>
      <c r="M31" s="48"/>
      <c r="N31" s="26" t="str">
        <f aca="false">IF(OR(L31="",M31="",$G$5="",$G$6=""),"",(L31/$G$5)/(M31/$G$6)^(1/3))</f>
        <v/>
      </c>
      <c r="O31" s="48"/>
      <c r="P31" s="48"/>
      <c r="Q31" s="48"/>
      <c r="R31" s="48"/>
    </row>
    <row r="32" customFormat="false" ht="15" hidden="false" customHeight="false" outlineLevel="0" collapsed="false">
      <c r="B32" s="42" t="n">
        <v>24</v>
      </c>
      <c r="C32" s="29" t="n">
        <v>6.06</v>
      </c>
      <c r="D32" s="29" t="n">
        <v>0.38</v>
      </c>
      <c r="E32" s="29" t="n">
        <v>0.12</v>
      </c>
      <c r="F32" s="11" t="s">
        <v>232</v>
      </c>
      <c r="G32" s="47" t="n">
        <v>0.5</v>
      </c>
      <c r="H32" s="42" t="n">
        <v>400</v>
      </c>
      <c r="I32" s="42" t="n">
        <v>25</v>
      </c>
      <c r="J32" s="47" t="n">
        <v>3</v>
      </c>
      <c r="K32" s="47" t="n">
        <v>19</v>
      </c>
      <c r="L32" s="48"/>
      <c r="M32" s="48"/>
      <c r="N32" s="26" t="str">
        <f aca="false">IF(OR(L32="",M32="",$G$5="",$G$6=""),"",(L32/$G$5)/(M32/$G$6)^(1/3))</f>
        <v/>
      </c>
      <c r="O32" s="48"/>
      <c r="P32" s="48"/>
      <c r="Q32" s="48"/>
      <c r="R32" s="48"/>
    </row>
    <row r="33" customFormat="false" ht="15" hidden="false" customHeight="false" outlineLevel="0" collapsed="false">
      <c r="B33" s="42" t="n">
        <v>25</v>
      </c>
      <c r="C33" s="29" t="n">
        <v>6.06</v>
      </c>
      <c r="D33" s="29" t="n">
        <v>0.53</v>
      </c>
      <c r="E33" s="29" t="n">
        <v>0.04</v>
      </c>
      <c r="F33" s="11" t="s">
        <v>231</v>
      </c>
      <c r="G33" s="47" t="n">
        <v>0.5</v>
      </c>
      <c r="H33" s="42" t="n">
        <v>400</v>
      </c>
      <c r="I33" s="42" t="n">
        <v>35</v>
      </c>
      <c r="J33" s="47" t="n">
        <v>1.4</v>
      </c>
      <c r="K33" s="47" t="n">
        <v>32.2</v>
      </c>
      <c r="L33" s="48"/>
      <c r="M33" s="48"/>
      <c r="N33" s="26" t="str">
        <f aca="false">IF(OR(L33="",M33="",$G$5="",$G$6=""),"",(L33/$G$5)/(M33/$G$6)^(1/3))</f>
        <v/>
      </c>
      <c r="O33" s="48"/>
      <c r="P33" s="48"/>
      <c r="Q33" s="48"/>
      <c r="R33" s="48"/>
    </row>
    <row r="34" customFormat="false" ht="15" hidden="false" customHeight="false" outlineLevel="0" collapsed="false">
      <c r="B34" s="42" t="n">
        <v>26</v>
      </c>
      <c r="C34" s="29" t="n">
        <v>6.06</v>
      </c>
      <c r="D34" s="29" t="n">
        <v>0.53</v>
      </c>
      <c r="E34" s="29" t="n">
        <v>0.08</v>
      </c>
      <c r="F34" s="11" t="s">
        <v>232</v>
      </c>
      <c r="G34" s="47" t="n">
        <v>1</v>
      </c>
      <c r="H34" s="42" t="n">
        <v>400</v>
      </c>
      <c r="I34" s="42" t="n">
        <v>35</v>
      </c>
      <c r="J34" s="47" t="n">
        <v>2.8</v>
      </c>
      <c r="K34" s="47" t="n">
        <v>29.4</v>
      </c>
      <c r="L34" s="48"/>
      <c r="M34" s="48"/>
      <c r="N34" s="26" t="str">
        <f aca="false">IF(OR(L34="",M34="",$G$5="",$G$6=""),"",(L34/$G$5)/(M34/$G$6)^(1/3))</f>
        <v/>
      </c>
      <c r="O34" s="48"/>
      <c r="P34" s="48"/>
      <c r="Q34" s="48"/>
      <c r="R34" s="48"/>
    </row>
    <row r="35" customFormat="false" ht="15" hidden="false" customHeight="false" outlineLevel="0" collapsed="false">
      <c r="B35" s="42" t="n">
        <v>27</v>
      </c>
      <c r="C35" s="29" t="n">
        <v>6.06</v>
      </c>
      <c r="D35" s="29" t="n">
        <v>0.53</v>
      </c>
      <c r="E35" s="29" t="n">
        <v>0.12</v>
      </c>
      <c r="F35" s="11" t="s">
        <v>230</v>
      </c>
      <c r="G35" s="47" t="n">
        <v>2</v>
      </c>
      <c r="H35" s="42" t="n">
        <v>400</v>
      </c>
      <c r="I35" s="42" t="n">
        <v>35</v>
      </c>
      <c r="J35" s="47" t="n">
        <v>4.2</v>
      </c>
      <c r="K35" s="47" t="n">
        <v>26.6</v>
      </c>
      <c r="L35" s="48"/>
      <c r="M35" s="48"/>
      <c r="N35" s="26" t="str">
        <f aca="false">IF(OR(L35="",M35="",$G$5="",$G$6=""),"",(L35/$G$5)/(M35/$G$6)^(1/3))</f>
        <v/>
      </c>
      <c r="O35" s="48"/>
      <c r="P35" s="48"/>
      <c r="Q35" s="48"/>
      <c r="R35" s="48"/>
    </row>
    <row r="37" customFormat="false" ht="30" hidden="false" customHeight="true" outlineLevel="0" collapsed="false">
      <c r="B37" s="12" t="s">
        <v>233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2026-08-03T12:06:56Z</dcterms:created>
  <dc:creator>openpyxl</dc:creator>
  <dc:description/>
  <dc:language>en-US</dc:language>
  <cp:lastModifiedBy/>
  <dcterms:modified xsi:type="dcterms:W3CDTF">2026-08-03T12:07:01Z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