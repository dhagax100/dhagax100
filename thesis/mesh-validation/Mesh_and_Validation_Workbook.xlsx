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Inputs" sheetId="2" state="visible" r:id="rId2"/>
    <sheet name="Fluid Properties" sheetId="3" state="visible" r:id="rId3"/>
    <sheet name="YPlus Inflation" sheetId="4" state="visible" r:id="rId4"/>
    <sheet name="Mesh Levels" sheetId="5" state="visible" r:id="rId5"/>
    <sheet name="Results Calculator" sheetId="6" state="visible" r:id="rId6"/>
    <sheet name="Correlation Validation" sheetId="7" state="visible" r:id="rId7"/>
    <sheet name="GCI Mesh Independence" sheetId="8" state="visible" r:id="rId8"/>
    <sheet name="Dudley D1 Validation" sheetId="9" state="visible" r:id="rId9"/>
    <sheet name="L27 Run Log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00"/>
    <numFmt numFmtId="166" formatCode="0.000"/>
    <numFmt numFmtId="167" formatCode="0.0%"/>
    <numFmt numFmtId="168" formatCode="0.00000"/>
    <numFmt numFmtId="169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</fonts>
  <fills count="6">
    <fill>
      <patternFill/>
    </fill>
    <fill>
      <patternFill patternType="gray125"/>
    </fill>
    <fill>
      <patternFill patternType="solid">
        <fgColor rgb="FFFFC7CE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1" fontId="12" fillId="0" borderId="1" applyAlignment="1" pivotButton="0" quotePrefix="0" xfId="0">
      <alignment horizontal="general" vertical="bottom"/>
    </xf>
    <xf numFmtId="2" fontId="12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1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2" fontId="6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2" fontId="11" fillId="0" borderId="1" applyAlignment="1" pivotButton="0" quotePrefix="0" xfId="0">
      <alignment horizontal="general" vertical="bottom"/>
    </xf>
    <xf numFmtId="165" fontId="12" fillId="4" borderId="1" applyAlignment="1" pivotButton="0" quotePrefix="0" xfId="0">
      <alignment horizontal="general" vertical="bottom"/>
    </xf>
    <xf numFmtId="2" fontId="12" fillId="4" borderId="1" applyAlignment="1" pivotButton="0" quotePrefix="0" xfId="0">
      <alignment horizontal="general" vertical="bottom"/>
    </xf>
    <xf numFmtId="1" fontId="12" fillId="4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8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168" fontId="6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" fontId="11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10" fontId="6" fillId="0" borderId="1" applyAlignment="1" pivotButton="0" quotePrefix="0" xfId="0">
      <alignment horizontal="general" vertical="bottom"/>
    </xf>
    <xf numFmtId="169" fontId="11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1" fontId="12" fillId="0" borderId="1" applyAlignment="1" pivotButton="0" quotePrefix="0" xfId="0">
      <alignment horizontal="general" vertical="bottom"/>
    </xf>
    <xf numFmtId="2" fontId="12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1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2" fontId="6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2" fontId="11" fillId="0" borderId="1" applyAlignment="1" pivotButton="0" quotePrefix="0" xfId="0">
      <alignment horizontal="general" vertical="bottom"/>
    </xf>
    <xf numFmtId="165" fontId="12" fillId="4" borderId="1" applyAlignment="1" pivotButton="0" quotePrefix="0" xfId="0">
      <alignment horizontal="general" vertical="bottom"/>
    </xf>
    <xf numFmtId="2" fontId="12" fillId="4" borderId="1" applyAlignment="1" pivotButton="0" quotePrefix="0" xfId="0">
      <alignment horizontal="general" vertical="bottom"/>
    </xf>
    <xf numFmtId="1" fontId="12" fillId="4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8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168" fontId="6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" fontId="11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10" fontId="6" fillId="0" borderId="1" applyAlignment="1" pivotButton="0" quotePrefix="0" xfId="0">
      <alignment horizontal="general" vertical="bottom"/>
    </xf>
    <xf numFmtId="169" fontId="11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B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100" customWidth="1" style="52" min="2" max="2"/>
  </cols>
  <sheetData>
    <row r="2" ht="17.35" customHeight="1" s="53">
      <c r="B2" s="54" t="inlineStr">
        <is>
          <t>PTSC-HTSP Thesis — Meshing &amp; Validation Workbook</t>
        </is>
      </c>
    </row>
    <row r="3" ht="15" customHeight="1" s="53">
      <c r="B3" s="55" t="inlineStr">
        <is>
          <t>Smooth-tube validation phase: mesh sizing, y+/inflation design, GCI mesh independence, and correlation checks</t>
        </is>
      </c>
    </row>
    <row r="6" ht="15" customHeight="1" s="53">
      <c r="B6" s="56" t="inlineStr">
        <is>
          <t>How this workbook is organized</t>
        </is>
      </c>
    </row>
    <row r="7" ht="15" customHeight="1" s="53">
      <c r="B7" s="56" t="inlineStr">
        <is>
          <t>Inputs</t>
        </is>
      </c>
    </row>
    <row r="8" ht="45" customHeight="1" s="53">
      <c r="B8" s="57" t="inlineStr">
        <is>
          <t>Every number used elsewhere lives here once. Change Re, Tb, growth rate, etc. here and it propagates everywhere via formulas.</t>
        </is>
      </c>
    </row>
    <row r="10" ht="15" customHeight="1" s="53">
      <c r="B10" s="56" t="inlineStr">
        <is>
          <t>Fluid Properties</t>
        </is>
      </c>
    </row>
    <row r="11" ht="45" customHeight="1" s="53">
      <c r="B11" s="57" t="inlineStr">
        <is>
          <t>Syltherm 800 property table + interpolation to your validation bulk temperature (Tb = 500 K). Contains PLACEHOLDER data — see warning below.</t>
        </is>
      </c>
    </row>
    <row r="13" ht="15" customHeight="1" s="53">
      <c r="B13" s="56" t="inlineStr">
        <is>
          <t>YPlus Inflation</t>
        </is>
      </c>
    </row>
    <row r="14" ht="45" customHeight="1" s="53">
      <c r="B14" s="57" t="inlineStr">
        <is>
          <t>Step-by-step y+ calculation (same method as the CFD-Online y+ calculator) and the resulting inflation-layer design: first layer height, growth rate, number of layers.</t>
        </is>
      </c>
    </row>
    <row r="16" ht="15" customHeight="1" s="53">
      <c r="B16" s="56" t="inlineStr">
        <is>
          <t>Mesh Levels</t>
        </is>
      </c>
    </row>
    <row r="17" ht="45" customHeight="1" s="53">
      <c r="B17" s="57" t="inlineStr">
        <is>
          <t>Coarse / Medium / Fine mesh parameters for your 3-level GCI study. Shows exactly what changes between levels and what must stay constant.</t>
        </is>
      </c>
    </row>
    <row r="19" ht="15" customHeight="1" s="53">
      <c r="B19" s="56" t="inlineStr">
        <is>
          <t>Correlation Validation</t>
        </is>
      </c>
    </row>
    <row r="20" ht="45" customHeight="1" s="53">
      <c r="B20" s="57" t="inlineStr">
        <is>
          <t>Gnielinski Nu and Petukhov f target values across your Re sweep (5,000-100,000), with blank cells for your Fluent results and automatic pass/fail against the 9%/5% thresholds in your solver_and_formulas.md.</t>
        </is>
      </c>
    </row>
    <row r="22" ht="15" customHeight="1" s="53">
      <c r="B22" s="56" t="inlineStr">
        <is>
          <t>GCI Mesh Independence</t>
        </is>
      </c>
    </row>
    <row r="23" ht="45" customHeight="1" s="53">
      <c r="B23" s="57" t="inlineStr">
        <is>
          <t>Celik et al. (2008) 3-grid Richardson extrapolation. Fill in your Nu and f from the coarse/medium/fine runs; GCI% computes automatically.</t>
        </is>
      </c>
    </row>
    <row r="25" ht="15" customHeight="1" s="53">
      <c r="B25" s="56" t="inlineStr">
        <is>
          <t>Dudley D1 Validation</t>
        </is>
      </c>
    </row>
    <row r="26" ht="45" customHeight="1" s="53">
      <c r="B26" s="57" t="inlineStr">
        <is>
          <t>Reproduction of Dudley et al. Table D-1 (9 cermet/vacuum cases) with blank columns for your CFD results.</t>
        </is>
      </c>
    </row>
    <row r="28" ht="15" customHeight="1" s="53">
      <c r="B28" s="56" t="inlineStr">
        <is>
          <t>L27 Run Log</t>
        </is>
      </c>
    </row>
    <row r="29" ht="45" customHeight="1" s="53">
      <c r="B29" s="57" t="inlineStr">
        <is>
          <t>Your full 27-run Taguchi matrix with blank result columns, matching the tracking sheet your own roadmap document recommends building.</t>
        </is>
      </c>
    </row>
    <row r="32" ht="15" customHeight="1" s="53">
      <c r="B32" s="58" t="inlineStr">
        <is>
          <t>IMPORTANT — read before trusting any number here</t>
        </is>
      </c>
    </row>
    <row r="33" ht="15" customHeight="1" s="53">
      <c r="B33" s="56" t="inlineStr">
        <is>
          <t>1. Syltherm 800 properties are ESTIMATES.</t>
        </is>
      </c>
    </row>
    <row r="34" ht="45" customHeight="1" s="53">
      <c r="B34" s="57" t="inlineStr">
        <is>
          <t>The 'Fluid Properties' sheet uses approximate published values I recall for Syltherm 800, NOT the exact polynomial coefficients from the Dow Chemical datasheet (Ref [68]) your proposal cites. Replace the 5-row table on that sheet with your actual datasheet values before you trust any Nu/f/y+ number derived from it. Everything downstream (velocity, friction factor, y+, first-layer height, Gnielinski/Petukhov targets) depends on this.</t>
        </is>
      </c>
    </row>
    <row r="36" ht="15" customHeight="1" s="53">
      <c r="B36" s="56" t="inlineStr">
        <is>
          <t>2. Two different residual targets exist in your own files.</t>
        </is>
      </c>
    </row>
    <row r="37" ht="45" customHeight="1" s="53">
      <c r="B37" s="57" t="inlineStr">
        <is>
          <t>solver_and_formulas.md says continuity 1e-6, all other residuals 1e-8. Your Learning_Roadmap docx says continuity/momentum 1e-4, energy 1e-6. These do not match. Pick one before you start production runs -- I used none of these numbers in this workbook (they don't feed any formula here), but you should resolve the conflict with your advisor before Week 3 in the roadmap.</t>
        </is>
      </c>
    </row>
    <row r="39" ht="15" customHeight="1" s="53">
      <c r="B39" s="56" t="inlineStr">
        <is>
          <t>3. First-layer height is sized for Re = 100,000 (your worst case), not per-run.</t>
        </is>
      </c>
    </row>
    <row r="40" ht="45" customHeight="1" s="53">
      <c r="B40" s="57" t="inlineStr">
        <is>
          <t>Thinner boundary layer at higher Re is the tightest constraint on y+. Using the Re-max first-layer height means y+ will be even better (lower) at lower Re with the same mesh -- that's fine, it's not a source of error.</t>
        </is>
      </c>
    </row>
    <row r="42" ht="15" customHeight="1" s="53">
      <c r="B42" s="56" t="inlineStr">
        <is>
          <t>4. Mesh independence (GCI) must be run at ONE fixed Re.</t>
        </is>
      </c>
    </row>
    <row r="43" ht="45" customHeight="1" s="53">
      <c r="B43" s="57" t="inlineStr">
        <is>
          <t>Recommended: Re = 100,000, matching your y+ design point. Run the same smooth-tube geometry at coarse/medium/fine mesh density, same Re, same everything else -- only mesh density changes.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E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45" customWidth="1" style="52" min="2" max="2"/>
    <col width="14" customWidth="1" style="52" min="3" max="3"/>
    <col width="12" customWidth="1" style="52" min="4" max="4"/>
    <col width="60" customWidth="1" style="52" min="5" max="5"/>
  </cols>
  <sheetData>
    <row r="2" ht="17.35" customHeight="1" s="53">
      <c r="B2" s="54" t="inlineStr">
        <is>
          <t>Global Inputs</t>
        </is>
      </c>
    </row>
    <row r="3" ht="15" customHeight="1" s="53">
      <c r="B3" s="55" t="inlineStr">
        <is>
          <t>Change values here (blue). Everything else in the workbook references these cells.</t>
        </is>
      </c>
    </row>
    <row r="5" ht="30" customHeight="1" s="53">
      <c r="B5" s="59" t="inlineStr">
        <is>
          <t>Parameter</t>
        </is>
      </c>
      <c r="C5" s="59" t="inlineStr">
        <is>
          <t>Value</t>
        </is>
      </c>
      <c r="D5" s="59" t="inlineStr">
        <is>
          <t>Units</t>
        </is>
      </c>
      <c r="E5" s="59" t="inlineStr">
        <is>
          <t>Notes</t>
        </is>
      </c>
    </row>
    <row r="6" ht="15" customHeight="1" s="53">
      <c r="B6" s="60" t="inlineStr">
        <is>
          <t>Tube inner diameter, D (dti)</t>
        </is>
      </c>
      <c r="C6" s="61" t="n">
        <v>0.066</v>
      </c>
      <c r="D6" s="62" t="inlineStr">
        <is>
          <t>m</t>
        </is>
      </c>
      <c r="E6" s="57" t="inlineStr">
        <is>
          <t>Locked design value, from CLAUDE.md geometry</t>
        </is>
      </c>
    </row>
    <row r="7" ht="15" customHeight="1" s="53">
      <c r="B7" s="60" t="inlineStr">
        <is>
          <t>Tube length, L</t>
        </is>
      </c>
      <c r="C7" s="61" t="n">
        <v>4</v>
      </c>
      <c r="D7" s="62" t="inlineStr">
        <is>
          <t>m</t>
        </is>
      </c>
      <c r="E7" s="57" t="inlineStr">
        <is>
          <t>Locked design value (4000 mm)</t>
        </is>
      </c>
    </row>
    <row r="8" ht="15" customHeight="1" s="53">
      <c r="B8" s="60" t="inlineStr">
        <is>
          <t>Re, minimum (validation range)</t>
        </is>
      </c>
      <c r="C8" s="61" t="n">
        <v>5000</v>
      </c>
      <c r="D8" s="62" t="inlineStr">
        <is>
          <t>-</t>
        </is>
      </c>
      <c r="E8" s="57" t="inlineStr">
        <is>
          <t>From solver_and_formulas.md validation range</t>
        </is>
      </c>
    </row>
    <row r="9" ht="15" customHeight="1" s="53">
      <c r="B9" s="60" t="inlineStr">
        <is>
          <t>Re, maximum (validation range)</t>
        </is>
      </c>
      <c r="C9" s="61" t="n">
        <v>100000</v>
      </c>
      <c r="D9" s="62" t="inlineStr">
        <is>
          <t>-</t>
        </is>
      </c>
      <c r="E9" s="57" t="inlineStr">
        <is>
          <t>From solver_and_formulas.md validation range -- also the mesh-design worst case</t>
        </is>
      </c>
    </row>
    <row r="10" ht="15" customHeight="1" s="53">
      <c r="B10" s="60" t="inlineStr">
        <is>
          <t>Tb, validation bulk temperature</t>
        </is>
      </c>
      <c r="C10" s="61" t="n">
        <v>500</v>
      </c>
      <c r="D10" s="62" t="inlineStr">
        <is>
          <t>K</t>
        </is>
      </c>
      <c r="E10" s="57" t="inlineStr">
        <is>
          <t>From solver_and_formulas.md validation plan (Re 5k-100k, Tb=500K)</t>
        </is>
      </c>
    </row>
    <row r="11" ht="15" customHeight="1" s="53">
      <c r="B11" s="60" t="inlineStr">
        <is>
          <t>Target y+ (first inflation layer)</t>
        </is>
      </c>
      <c r="C11" s="61" t="n">
        <v>1</v>
      </c>
      <c r="D11" s="62" t="inlineStr">
        <is>
          <t>-</t>
        </is>
      </c>
      <c r="E11" s="57" t="inlineStr">
        <is>
          <t>Enhanced Wall Treatment / y+~1 requirement, per solver_and_formulas.md</t>
        </is>
      </c>
    </row>
    <row r="12" ht="15" customHeight="1" s="53">
      <c r="B12" s="60" t="inlineStr">
        <is>
          <t>Inflation growth rate</t>
        </is>
      </c>
      <c r="C12" s="61" t="n">
        <v>1.2</v>
      </c>
      <c r="D12" s="62" t="inlineStr">
        <is>
          <t>-</t>
        </is>
      </c>
      <c r="E12" s="57" t="inlineStr">
        <is>
          <t>Mid-range of roadmap's suggested 1.1-1.2</t>
        </is>
      </c>
    </row>
    <row r="13" ht="15" customHeight="1" s="53">
      <c r="B13" s="60" t="inlineStr">
        <is>
          <t>Number of inflation layers</t>
        </is>
      </c>
      <c r="C13" s="61" t="n">
        <v>20</v>
      </c>
      <c r="D13" s="62" t="inlineStr">
        <is>
          <t>-</t>
        </is>
      </c>
      <c r="E13" s="57" t="inlineStr">
        <is>
          <t>Computed to give a sensible total BL thickness -- see YPlus Inflation sheet</t>
        </is>
      </c>
    </row>
    <row r="14" ht="15" customHeight="1" s="53">
      <c r="B14" s="60" t="inlineStr">
        <is>
          <t>Mesh refinement ratio, r (level-to-level)</t>
        </is>
      </c>
      <c r="C14" s="61" t="n">
        <v>1.5</v>
      </c>
      <c r="D14" s="62" t="inlineStr">
        <is>
          <t>-</t>
        </is>
      </c>
      <c r="E14" s="57" t="inlineStr">
        <is>
          <t>Coarse-&gt;Medium-&gt;Fine. Celik et al. (2008) recommends r &gt;= 1.3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G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14" customWidth="1" style="52" min="2" max="4"/>
    <col width="16" customWidth="1" style="52" min="5" max="5"/>
    <col width="14" customWidth="1" style="52" min="6" max="6"/>
    <col width="16" customWidth="1" style="52" min="7" max="7"/>
    <col width="3" customWidth="1" style="52" min="8" max="8"/>
    <col width="30" customWidth="1" style="52" min="9" max="9"/>
    <col width="16" customWidth="1" style="52" min="10" max="10"/>
  </cols>
  <sheetData>
    <row r="2" ht="17.35" customHeight="1" s="53">
      <c r="B2" s="54" t="inlineStr">
        <is>
          <t>Syltherm 800 Properties</t>
        </is>
      </c>
    </row>
    <row r="3" ht="45" customHeight="1" s="53">
      <c r="B3" s="63" t="inlineStr">
        <is>
          <t>PLACEHOLDER DATA -- replace rows 6-10 with the exact Dow Chemical datasheet polynomial (Ref [68] in your proposal) before trusting any downstream number. Values below are approximate figures I recall from Dow's public Syltherm 800 technical bulletin, not the verified coefficients your nanofluids_and_properties.md refers to.</t>
        </is>
      </c>
    </row>
    <row r="5" ht="30" customHeight="1" s="53">
      <c r="B5" s="59" t="inlineStr">
        <is>
          <t>T (°C)</t>
        </is>
      </c>
      <c r="C5" s="59" t="inlineStr">
        <is>
          <t>T (K)</t>
        </is>
      </c>
      <c r="D5" s="59" t="inlineStr">
        <is>
          <t>ρ Density
(kg/m³)</t>
        </is>
      </c>
      <c r="E5" s="59" t="inlineStr">
        <is>
          <t>ν Kin. Visc.
(cSt)</t>
        </is>
      </c>
      <c r="F5" s="59" t="inlineStr">
        <is>
          <t>k Therm. Cond.
(W/m·K)</t>
        </is>
      </c>
      <c r="G5" s="59" t="inlineStr">
        <is>
          <t>cp Spec. Heat
(kJ/kg·K)</t>
        </is>
      </c>
    </row>
    <row r="6" ht="15" customHeight="1" s="53">
      <c r="B6" s="64" t="n">
        <v>0</v>
      </c>
      <c r="C6" s="62">
        <f>B6+273.15</f>
        <v/>
      </c>
      <c r="D6" s="64" t="n">
        <v>943</v>
      </c>
      <c r="E6" s="64" t="n">
        <v>9.4</v>
      </c>
      <c r="F6" s="64" t="n">
        <v>0.135</v>
      </c>
      <c r="G6" s="64" t="n">
        <v>1.53</v>
      </c>
    </row>
    <row r="7" ht="15" customHeight="1" s="53">
      <c r="B7" s="64" t="n">
        <v>100</v>
      </c>
      <c r="C7" s="62">
        <f>B7+273.15</f>
        <v/>
      </c>
      <c r="D7" s="64" t="n">
        <v>868</v>
      </c>
      <c r="E7" s="64" t="n">
        <v>1.75</v>
      </c>
      <c r="F7" s="64" t="n">
        <v>0.123</v>
      </c>
      <c r="G7" s="64" t="n">
        <v>1.72</v>
      </c>
    </row>
    <row r="8" ht="15" customHeight="1" s="53">
      <c r="B8" s="64" t="n">
        <v>200</v>
      </c>
      <c r="C8" s="62">
        <f>B8+273.15</f>
        <v/>
      </c>
      <c r="D8" s="64" t="n">
        <v>792</v>
      </c>
      <c r="E8" s="64" t="n">
        <v>0.72</v>
      </c>
      <c r="F8" s="64" t="n">
        <v>0.111</v>
      </c>
      <c r="G8" s="64" t="n">
        <v>1.92</v>
      </c>
    </row>
    <row r="9" ht="15" customHeight="1" s="53">
      <c r="B9" s="64" t="n">
        <v>300</v>
      </c>
      <c r="C9" s="62">
        <f>B9+273.15</f>
        <v/>
      </c>
      <c r="D9" s="64" t="n">
        <v>715</v>
      </c>
      <c r="E9" s="64" t="n">
        <v>0.39</v>
      </c>
      <c r="F9" s="64" t="n">
        <v>0.099</v>
      </c>
      <c r="G9" s="64" t="n">
        <v>2.14</v>
      </c>
    </row>
    <row r="10" ht="15" customHeight="1" s="53">
      <c r="B10" s="64" t="n">
        <v>400</v>
      </c>
      <c r="C10" s="62">
        <f>B10+273.15</f>
        <v/>
      </c>
      <c r="D10" s="64" t="n">
        <v>631</v>
      </c>
      <c r="E10" s="64" t="n">
        <v>0.24</v>
      </c>
      <c r="F10" s="64" t="n">
        <v>0.08699999999999999</v>
      </c>
      <c r="G10" s="64" t="n">
        <v>2.38</v>
      </c>
    </row>
    <row r="12" ht="15" customHeight="1" s="53">
      <c r="B12" s="65" t="inlineStr">
        <is>
          <t>Source: approximate values only -- see warning above. Replace with Ref [68].</t>
        </is>
      </c>
    </row>
    <row r="14" ht="15" customHeight="1" s="53">
      <c r="B14" s="56" t="inlineStr">
        <is>
          <t>Design Point (used everywhere else in this workbook)</t>
        </is>
      </c>
    </row>
    <row r="15" ht="15" customHeight="1" s="53">
      <c r="B15" s="60" t="inlineStr">
        <is>
          <t>Tb (K)</t>
        </is>
      </c>
      <c r="C15" s="66">
        <f>Inputs!$C$10</f>
        <v/>
      </c>
    </row>
    <row r="16" ht="15" customHeight="1" s="53">
      <c r="B16" s="60" t="inlineStr">
        <is>
          <t>Tb (°C)</t>
        </is>
      </c>
      <c r="C16" s="62">
        <f>C15-273.15</f>
        <v/>
      </c>
    </row>
    <row r="17" ht="15" customHeight="1" s="53">
      <c r="B17" s="60" t="inlineStr">
        <is>
          <t>ρ interpolated (kg/m³)</t>
        </is>
      </c>
      <c r="C17" s="62">
        <f>FORECAST(C16,OFFSET($D$6,MATCH(C16,$B$6:$B$10,1)-1,0,2,1),OFFSET($B$6,MATCH(C16,$B$6:$B$10,1)-1,0,2,1))</f>
        <v/>
      </c>
    </row>
    <row r="18" ht="15" customHeight="1" s="53">
      <c r="B18" s="60" t="inlineStr">
        <is>
          <t>ν interpolated (cSt)</t>
        </is>
      </c>
      <c r="C18" s="62">
        <f>FORECAST(C16,OFFSET($E$6,MATCH(C16,$B$6:$B$10,1)-1,0,2,1),OFFSET($B$6,MATCH(C16,$B$6:$B$10,1)-1,0,2,1))</f>
        <v/>
      </c>
    </row>
    <row r="19" ht="15" customHeight="1" s="53">
      <c r="B19" s="60" t="inlineStr">
        <is>
          <t>k interpolated (W/m·K)</t>
        </is>
      </c>
      <c r="C19" s="62">
        <f>FORECAST(C16,OFFSET($F$6,MATCH(C16,$B$6:$B$10,1)-1,0,2,1),OFFSET($B$6,MATCH(C16,$B$6:$B$10,1)-1,0,2,1))</f>
        <v/>
      </c>
    </row>
    <row r="20" ht="15" customHeight="1" s="53">
      <c r="B20" s="60" t="inlineStr">
        <is>
          <t>cp interpolated (kJ/kg·K)</t>
        </is>
      </c>
      <c r="C20" s="62">
        <f>FORECAST(C16,OFFSET($G$6,MATCH(C16,$B$6:$B$10,1)-1,0,2,1),OFFSET($B$6,MATCH(C16,$B$6:$B$10,1)-1,0,2,1))</f>
        <v/>
      </c>
    </row>
    <row r="21" ht="15" customHeight="1" s="53">
      <c r="B21" s="60" t="inlineStr">
        <is>
          <t>μ dynamic viscosity (Pa·s) = ν(cSt)×1e-6×ρ</t>
        </is>
      </c>
      <c r="C21" s="62">
        <f>C18*0.000001*C17</f>
        <v/>
      </c>
    </row>
    <row r="22" ht="15" customHeight="1" s="53">
      <c r="B22" s="60" t="inlineStr">
        <is>
          <t>ν kinematic viscosity (m²/s)</t>
        </is>
      </c>
      <c r="C22" s="62">
        <f>C18*0.000001</f>
        <v/>
      </c>
    </row>
    <row r="23" ht="15" customHeight="1" s="53">
      <c r="B23" s="60" t="inlineStr">
        <is>
          <t>cp (J/kg·K)</t>
        </is>
      </c>
      <c r="C23" s="62">
        <f>C20*1000</f>
        <v/>
      </c>
    </row>
    <row r="24" ht="15" customHeight="1" s="53">
      <c r="B24" s="56" t="inlineStr">
        <is>
          <t>Pr Prandtl number = cp·μ/k</t>
        </is>
      </c>
      <c r="C24" s="67">
        <f>C23*C21/C19</f>
        <v/>
      </c>
    </row>
  </sheetData>
  <mergeCells count="3">
    <mergeCell ref="B3:G3"/>
    <mergeCell ref="B14:G14"/>
    <mergeCell ref="B12:G1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B2:D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46" customWidth="1" style="52" min="2" max="2"/>
    <col width="18" customWidth="1" style="52" min="3" max="3"/>
    <col width="22" customWidth="1" style="52" min="4" max="4"/>
  </cols>
  <sheetData>
    <row r="2" ht="17.35" customHeight="1" s="53">
      <c r="B2" s="54" t="inlineStr">
        <is>
          <t>y+ Calculation and Inflation-Layer Design</t>
        </is>
      </c>
    </row>
    <row r="3" ht="27.75" customHeight="1" s="53">
      <c r="B3" s="65" t="inlineStr">
        <is>
          <t>Same method as the CFD-Online y+ calculator: Re -&gt; V -&gt; friction factor -&gt; wall shear -&gt; friction velocity -&gt; first-layer height for target y+.</t>
        </is>
      </c>
    </row>
    <row r="5" ht="30" customHeight="1" s="53">
      <c r="B5" s="59" t="inlineStr">
        <is>
          <t>Parameter</t>
        </is>
      </c>
      <c r="C5" s="59" t="inlineStr">
        <is>
          <t>Re = min</t>
        </is>
      </c>
      <c r="D5" s="59" t="inlineStr">
        <is>
          <t>Re = max  (DESIGN CASE)</t>
        </is>
      </c>
    </row>
    <row r="6" ht="15" customHeight="1" s="53">
      <c r="B6" s="57" t="inlineStr">
        <is>
          <t>Re</t>
        </is>
      </c>
      <c r="C6" s="66">
        <f>Inputs!$C$8</f>
        <v/>
      </c>
      <c r="D6" s="66">
        <f>Inputs!$C$9</f>
        <v/>
      </c>
    </row>
    <row r="7" ht="15" customHeight="1" s="53">
      <c r="B7" s="57" t="inlineStr">
        <is>
          <t>D (m)</t>
        </is>
      </c>
      <c r="C7" s="66">
        <f>Inputs!$C$6</f>
        <v/>
      </c>
      <c r="D7" s="66">
        <f>Inputs!$C$6</f>
        <v/>
      </c>
    </row>
    <row r="8" ht="15" customHeight="1" s="53">
      <c r="B8" s="57" t="inlineStr">
        <is>
          <t>ν (m²/s)</t>
        </is>
      </c>
      <c r="C8" s="68">
        <f>'Fluid Properties'!$C$22</f>
        <v/>
      </c>
      <c r="D8" s="68">
        <f>'Fluid Properties'!$C$22</f>
        <v/>
      </c>
    </row>
    <row r="9" ht="15" customHeight="1" s="53">
      <c r="B9" s="57" t="inlineStr">
        <is>
          <t>ρ (kg/m³)</t>
        </is>
      </c>
      <c r="C9" s="69">
        <f>'Fluid Properties'!$C$17</f>
        <v/>
      </c>
      <c r="D9" s="69">
        <f>'Fluid Properties'!$C$17</f>
        <v/>
      </c>
    </row>
    <row r="10" ht="15" customHeight="1" s="53">
      <c r="B10" s="57" t="inlineStr">
        <is>
          <t>Velocity  V = Re·ν / D  (m/s)</t>
        </is>
      </c>
      <c r="C10" s="70">
        <f>C6*C8/C7</f>
        <v/>
      </c>
      <c r="D10" s="70">
        <f>D6*D8/D7</f>
        <v/>
      </c>
    </row>
    <row r="11" ht="15" customHeight="1" s="53">
      <c r="B11" s="57" t="inlineStr">
        <is>
          <t>Darcy friction factor, f  (Petukhov: (0.79·ln(Re)-1.64)^-2)</t>
        </is>
      </c>
      <c r="C11" s="70">
        <f>(0.79*LN(C6)-1.64)^-2</f>
        <v/>
      </c>
      <c r="D11" s="70">
        <f>(0.79*LN(D6)-1.64)^-2</f>
        <v/>
      </c>
    </row>
    <row r="12" ht="15" customHeight="1" s="53">
      <c r="B12" s="57" t="inlineStr">
        <is>
          <t>Wall shear stress  τw = (f/8)·ρ·V²  (Pa)</t>
        </is>
      </c>
      <c r="C12" s="70">
        <f>(C11/8)*C9*C10^2</f>
        <v/>
      </c>
      <c r="D12" s="70">
        <f>(D11/8)*D9*D10^2</f>
        <v/>
      </c>
    </row>
    <row r="13" ht="15" customHeight="1" s="53">
      <c r="B13" s="57" t="inlineStr">
        <is>
          <t>Friction velocity  uτ = √(τw/ρ)  (m/s)</t>
        </is>
      </c>
      <c r="C13" s="71">
        <f>SQRT(C12/C9)</f>
        <v/>
      </c>
      <c r="D13" s="71">
        <f>SQRT(D12/D9)</f>
        <v/>
      </c>
    </row>
    <row r="14" ht="15" customHeight="1" s="53">
      <c r="B14" s="57" t="inlineStr">
        <is>
          <t>First layer height for y+ = target  (m)  =  y+ · ν / uτ</t>
        </is>
      </c>
      <c r="C14" s="72">
        <f>Inputs!$C$11*C8/C13</f>
        <v/>
      </c>
      <c r="D14" s="72">
        <f>Inputs!$C$11*D8/D13</f>
        <v/>
      </c>
    </row>
    <row r="15" ht="15" customHeight="1" s="53">
      <c r="B15" s="57" t="inlineStr">
        <is>
          <t>First layer height (mm)</t>
        </is>
      </c>
      <c r="C15" s="71">
        <f>C14*1000</f>
        <v/>
      </c>
      <c r="D15" s="71">
        <f>D14*1000</f>
        <v/>
      </c>
    </row>
    <row r="16" ht="15" customHeight="1" s="53">
      <c r="B16" s="57" t="inlineStr">
        <is>
          <t>First layer height (µm)</t>
        </is>
      </c>
      <c r="C16" s="73">
        <f>C14*1000000</f>
        <v/>
      </c>
      <c r="D16" s="73">
        <f>D14*1000000</f>
        <v/>
      </c>
    </row>
    <row r="19" ht="15" customHeight="1" s="53">
      <c r="B19" s="74" t="inlineStr">
        <is>
          <t>DESIGN VALUES -- enter these directly into ANSYS Meshing's Inflation control</t>
        </is>
      </c>
    </row>
    <row r="20" ht="15" customHeight="1" s="53">
      <c r="B20" s="60" t="inlineStr">
        <is>
          <t>First layer height, worst case Re=max (mm)</t>
        </is>
      </c>
      <c r="C20" s="75">
        <f>D15</f>
        <v/>
      </c>
    </row>
    <row r="21" ht="15" customHeight="1" s="53">
      <c r="B21" s="60" t="inlineStr">
        <is>
          <t>First layer height (µm) -- what you'll type into ANSYS (First Layer Thickness)</t>
        </is>
      </c>
      <c r="C21" s="76">
        <f>C20*1000</f>
        <v/>
      </c>
    </row>
    <row r="22" ht="15" customHeight="1" s="53">
      <c r="B22" s="60" t="inlineStr">
        <is>
          <t>Growth rate (input on Inputs sheet)</t>
        </is>
      </c>
      <c r="C22" s="77">
        <f>Inputs!$C$12</f>
        <v/>
      </c>
    </row>
    <row r="23" ht="15" customHeight="1" s="53">
      <c r="B23" s="60" t="inlineStr">
        <is>
          <t>Number of inflation layers (input on Inputs sheet)</t>
        </is>
      </c>
      <c r="C23" s="77">
        <f>Inputs!$C$13</f>
        <v/>
      </c>
    </row>
    <row r="24" ht="15" customHeight="1" s="53">
      <c r="B24" s="60" t="inlineStr">
        <is>
          <t>Total inflation stack thickness (mm) = a·(rⁿ-1)/(r-1)</t>
        </is>
      </c>
      <c r="C24" s="78">
        <f>C20*(C22^C23-1)/(C22-1)</f>
        <v/>
      </c>
    </row>
    <row r="25" ht="15" customHeight="1" s="53">
      <c r="B25" s="60" t="inlineStr">
        <is>
          <t>Tube radius (mm)  -- sanity-check denominator</t>
        </is>
      </c>
      <c r="C25" s="73">
        <f>Inputs!$C$6*1000/2</f>
        <v/>
      </c>
    </row>
    <row r="26" ht="15" customHeight="1" s="53">
      <c r="B26" s="60" t="inlineStr">
        <is>
          <t>Inflation stack as % of tube radius  (aim ~5-20%)</t>
        </is>
      </c>
      <c r="C26" s="79">
        <f>C24/C25</f>
        <v/>
      </c>
    </row>
    <row r="28" ht="60" customHeight="1" s="53">
      <c r="B28" s="65" t="inlineStr">
        <is>
          <t>Why the first-layer height stays constant across coarse/medium/fine meshes: y+ is a physics requirement tied to Re and the boundary layer thickness, not a numerical discretisation choice. If you change it between mesh levels, a change in your Nu/f results could be caused by the near-wall resolution changing instead of the overall mesh density -- that breaks the mesh-independence test. Only the core/away-from-wall divisions (Mesh Levels sheet) should vary.</t>
        </is>
      </c>
    </row>
  </sheetData>
  <mergeCells count="3">
    <mergeCell ref="B28:D28"/>
    <mergeCell ref="B3:D3"/>
    <mergeCell ref="B19:D1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B2:E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46" customWidth="1" style="52" min="2" max="2"/>
    <col width="16" customWidth="1" style="52" min="3" max="5"/>
  </cols>
  <sheetData>
    <row r="2" ht="17.35" customHeight="1" s="53">
      <c r="B2" s="54" t="inlineStr">
        <is>
          <t>Mesh Levels — Coarse / Medium / Fine</t>
        </is>
      </c>
    </row>
    <row r="3" ht="39.75" customHeight="1" s="53">
      <c r="B3" s="65" t="inlineStr">
        <is>
          <t>Blue cells (Coarse column) are the only ones you type. Medium and Fine are computed by multiplying by the refinement ratio r (Inputs sheet) -- this is what gives you a clean, defensible r for the GCI calculation later, instead of picking mesh sizes by feel.</t>
        </is>
      </c>
    </row>
    <row r="5" ht="15" customHeight="1" s="53">
      <c r="B5" s="60" t="inlineStr">
        <is>
          <t>Refinement ratio, r  (from Inputs sheet)</t>
        </is>
      </c>
      <c r="C5" s="69">
        <f>Inputs!$C$14</f>
        <v/>
      </c>
    </row>
    <row r="7" ht="30" customHeight="1" s="53">
      <c r="B7" s="59" t="inlineStr">
        <is>
          <t>Parameter</t>
        </is>
      </c>
      <c r="C7" s="59" t="inlineStr">
        <is>
          <t>Coarse (Level 3)</t>
        </is>
      </c>
      <c r="D7" s="59" t="inlineStr">
        <is>
          <t>Medium (Level 2)</t>
        </is>
      </c>
      <c r="E7" s="59" t="inlineStr">
        <is>
          <t>Fine (Level 1)</t>
        </is>
      </c>
    </row>
    <row r="8" ht="15" customHeight="1" s="53">
      <c r="B8" s="60" t="inlineStr">
        <is>
          <t>Circumferential divisions (around the O-grid perimeter)</t>
        </is>
      </c>
      <c r="C8" s="64" t="n">
        <v>15</v>
      </c>
      <c r="D8" s="62">
        <f>ROUND(C8*$C$5,0)</f>
        <v/>
      </c>
      <c r="E8" s="62">
        <f>ROUND(D8*$C$5,0)</f>
        <v/>
      </c>
    </row>
    <row r="9" ht="15" customHeight="1" s="53">
      <c r="B9" s="60" t="inlineStr">
        <is>
          <t>Core (O-grid centre square) radial divisions</t>
        </is>
      </c>
      <c r="C9" s="64" t="n">
        <v>10</v>
      </c>
      <c r="D9" s="62">
        <f>ROUND(C9*$C$5,0)</f>
        <v/>
      </c>
      <c r="E9" s="62">
        <f>ROUND(D9*$C$5,0)</f>
        <v/>
      </c>
    </row>
    <row r="10" ht="15" customHeight="1" s="53">
      <c r="B10" s="60" t="inlineStr">
        <is>
          <t>Axial divisions (along the 4 m tube length)</t>
        </is>
      </c>
      <c r="C10" s="64" t="n">
        <v>100</v>
      </c>
      <c r="D10" s="62">
        <f>ROUND(C10*$C$5,0)</f>
        <v/>
      </c>
      <c r="E10" s="62">
        <f>ROUND(D10*$C$5,0)</f>
        <v/>
      </c>
    </row>
    <row r="12" ht="15" customHeight="1" s="53">
      <c r="B12" s="60" t="inlineStr">
        <is>
          <t>Approx. circumferential cell size (mm) = π·D / N_circ</t>
        </is>
      </c>
      <c r="C12" s="73">
        <f>PI()*Inputs!$C$6*1000/C8</f>
        <v/>
      </c>
      <c r="D12" s="73">
        <f>PI()*Inputs!$C$6*1000/D8</f>
        <v/>
      </c>
      <c r="E12" s="73">
        <f>PI()*Inputs!$C$6*1000/E8</f>
        <v/>
      </c>
    </row>
    <row r="13" ht="15" customHeight="1" s="53">
      <c r="B13" s="60" t="inlineStr">
        <is>
          <t>Approx. axial cell length (mm) = L / N_axial</t>
        </is>
      </c>
      <c r="C13" s="73">
        <f>Inputs!$C$7*1000/C10</f>
        <v/>
      </c>
      <c r="D13" s="73">
        <f>Inputs!$C$7*1000/D10</f>
        <v/>
      </c>
      <c r="E13" s="73">
        <f>Inputs!$C$7*1000/E10</f>
        <v/>
      </c>
    </row>
    <row r="15" ht="30" customHeight="1" s="53">
      <c r="B15" s="58" t="inlineStr">
        <is>
          <t>Core-radial cell size -- needs one assumption circumferential/axial didn't: how big is the O-grid centre square?</t>
        </is>
      </c>
    </row>
    <row r="16" ht="27.75" customHeight="1" s="53">
      <c r="B16" s="57" t="inlineStr">
        <is>
          <t>Core block half-width, as a fraction of tube radius (editable -- common O-grid practice is 0.35-0.45, not a strict rule)</t>
        </is>
      </c>
      <c r="C16" s="80" t="n">
        <v>0.4</v>
      </c>
    </row>
    <row r="17" ht="15" customHeight="1" s="53">
      <c r="B17" s="60" t="inlineStr">
        <is>
          <t>Tube radius (mm)</t>
        </is>
      </c>
      <c r="C17" s="73">
        <f>Inputs!$C$6*1000/2</f>
        <v/>
      </c>
    </row>
    <row r="18" ht="15" customHeight="1" s="53">
      <c r="B18" s="60" t="inlineStr">
        <is>
          <t>Core block half-width (mm) = fraction × radius</t>
        </is>
      </c>
      <c r="C18" s="73">
        <f>C16*C17</f>
        <v/>
      </c>
    </row>
    <row r="19" ht="15" customHeight="1" s="53">
      <c r="B19" s="60" t="inlineStr">
        <is>
          <t>Radial (wedge) span (mm) = radius - core half-width</t>
        </is>
      </c>
      <c r="C19" s="73">
        <f>C17-C18</f>
        <v/>
      </c>
    </row>
    <row r="20" ht="15" customHeight="1" s="53">
      <c r="B20" s="60" t="inlineStr">
        <is>
          <t>Approx. core-radial cell size (mm) = wedge span / N_core</t>
        </is>
      </c>
      <c r="C20" s="70">
        <f>$C$19/C9</f>
        <v/>
      </c>
      <c r="D20" s="70">
        <f>$C$19/D9</f>
        <v/>
      </c>
      <c r="E20" s="70">
        <f>$C$19/E9</f>
        <v/>
      </c>
    </row>
    <row r="21" ht="60" customHeight="1" s="53">
      <c r="B21" s="65" t="inlineStr">
        <is>
          <t>This is a planning estimate, not a guarantee of what ANSYS's automatic MultiZone O-grid will build -- MultiZone decides the actual core-block position and the size transition itself. Its purpose here is bookkeeping: it feeds the cell-count and representative-size formulas below so your GCI refinement ratio stays consistent across levels. If ANSYS reports poor skewness/orthogonal quality in the wedge blocks after meshing, that's the real signal to adjust the core fraction or Core radial divisions -- not this number on its own.</t>
        </is>
      </c>
    </row>
    <row r="23" ht="15" customHeight="1" s="53">
      <c r="B23" s="74" t="inlineStr">
        <is>
          <t>Inflation (boundary layer) settings — CONSTANT across all three levels, do NOT change these between runs</t>
        </is>
      </c>
    </row>
    <row r="24" ht="15" customHeight="1" s="53">
      <c r="B24" s="60" t="inlineStr">
        <is>
          <t>First layer height (mm)</t>
        </is>
      </c>
      <c r="C24" s="81">
        <f>'YPlus Inflation'!$C$20</f>
        <v/>
      </c>
      <c r="D24" s="81">
        <f>'YPlus Inflation'!$C$20</f>
        <v/>
      </c>
      <c r="E24" s="81">
        <f>'YPlus Inflation'!$C$20</f>
        <v/>
      </c>
    </row>
    <row r="25" ht="15" customHeight="1" s="53">
      <c r="B25" s="60" t="inlineStr">
        <is>
          <t>Growth rate</t>
        </is>
      </c>
      <c r="C25" s="82">
        <f>'YPlus Inflation'!$C$22</f>
        <v/>
      </c>
      <c r="D25" s="82">
        <f>'YPlus Inflation'!$C$22</f>
        <v/>
      </c>
      <c r="E25" s="82">
        <f>'YPlus Inflation'!$C$22</f>
        <v/>
      </c>
    </row>
    <row r="26" ht="15" customHeight="1" s="53">
      <c r="B26" s="60" t="inlineStr">
        <is>
          <t>Number of inflation layers</t>
        </is>
      </c>
      <c r="C26" s="83">
        <f>'YPlus Inflation'!$C$23</f>
        <v/>
      </c>
      <c r="D26" s="83">
        <f>'YPlus Inflation'!$C$23</f>
        <v/>
      </c>
      <c r="E26" s="83">
        <f>'YPlus Inflation'!$C$23</f>
        <v/>
      </c>
    </row>
    <row r="28" ht="30" customHeight="1" s="53">
      <c r="B28" s="57" t="inlineStr">
        <is>
          <t>Approx. total cell count (order-of-magnitude estimate)
= N_circ × N_axial × (N_core + N_inflation_layers)</t>
        </is>
      </c>
      <c r="C28" s="84">
        <f>C8*C10*(C9+C26)</f>
        <v/>
      </c>
      <c r="D28" s="84">
        <f>D8*D10*(D9+D26)</f>
        <v/>
      </c>
      <c r="E28" s="84">
        <f>E8*E10*(E9+E26)</f>
        <v/>
      </c>
    </row>
    <row r="29" ht="30" customHeight="1" s="53">
      <c r="B29" s="57" t="inlineStr">
        <is>
          <t>Representative cell size h (mm) = (tube volume / N_total)^(1/3)
[used for the GCI refinement-ratio check on the next sheet]</t>
        </is>
      </c>
      <c r="C29" s="70">
        <f>(PI()/4*(Inputs!$C$6*1000)^2*(Inputs!$C$7*1000)/C28)^(1/3)</f>
        <v/>
      </c>
      <c r="D29" s="70">
        <f>(PI()/4*(Inputs!$C$6*1000)^2*(Inputs!$C$7*1000)/D28)^(1/3)</f>
        <v/>
      </c>
      <c r="E29" s="70">
        <f>(PI()/4*(Inputs!$C$6*1000)^2*(Inputs!$C$7*1000)/E28)^(1/3)</f>
        <v/>
      </c>
    </row>
    <row r="31" ht="75" customHeight="1" s="53">
      <c r="B31" s="65" t="inlineStr">
        <is>
          <t>What to change between levels: circumferential divisions, core-block radial divisions, and axial divisions (rows above) -- these control the mesh away from the wall. What must stay fixed: first-layer height, growth rate, number of inflation layers (blue-shaded block above) -- these are a physics requirement (y+), not a discretisation choice. In ANSYS Meshing this maps to: change the Sizing/Method divisions per level; leave the Inflation control's 'First Layer Thickness', 'Growth Rate' and 'Number of Layers' identical in all three.</t>
        </is>
      </c>
    </row>
  </sheetData>
  <mergeCells count="5">
    <mergeCell ref="B31:E31"/>
    <mergeCell ref="B23:E23"/>
    <mergeCell ref="B21:E21"/>
    <mergeCell ref="B15:E15"/>
    <mergeCell ref="B3:E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B2: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32" customWidth="1" style="52" min="2" max="2"/>
    <col width="9" customWidth="1" style="52" min="3" max="3"/>
    <col width="10" customWidth="1" style="52" min="4" max="6"/>
    <col width="9" customWidth="1" style="52" min="7" max="12"/>
    <col width="10" customWidth="1" style="52" min="13" max="13"/>
    <col width="9" customWidth="1" style="52" min="14" max="14"/>
    <col width="3" customWidth="1" style="52" min="15" max="15"/>
  </cols>
  <sheetData>
    <row r="2" ht="17.35" customHeight="1" s="53">
      <c r="B2" s="54" t="inlineStr">
        <is>
          <t>Results Calculator -- one place for h, Nu, dP, f</t>
        </is>
      </c>
    </row>
    <row r="3" ht="39.75" customHeight="1" s="53">
      <c r="B3" s="65" t="inlineStr">
        <is>
          <t>One row per Fluent run. Paste T_out, T_wall, p_in, p_out here from your Report Definitions (Compute button) -- V, Tb, h, Nu, dP and f compute automatically. The GCI sheet and Correlation Validation sheet both read their Nu/f from this table, so you only enter raw numbers once, here.</t>
        </is>
      </c>
    </row>
    <row r="5" ht="30" customHeight="1" s="53">
      <c r="B5" s="59" t="inlineStr">
        <is>
          <t>Run</t>
        </is>
      </c>
      <c r="C5" s="59" t="inlineStr">
        <is>
          <t>Re</t>
        </is>
      </c>
      <c r="D5" s="59" t="inlineStr">
        <is>
          <t>q''
(W/m2)</t>
        </is>
      </c>
      <c r="E5" s="59" t="inlineStr">
        <is>
          <t>T_out (K)
PASTE</t>
        </is>
      </c>
      <c r="F5" s="59" t="inlineStr">
        <is>
          <t>T_wall (K)
PASTE</t>
        </is>
      </c>
      <c r="G5" s="59" t="inlineStr">
        <is>
          <t>p_in (Pa)
PASTE</t>
        </is>
      </c>
      <c r="H5" s="59" t="inlineStr">
        <is>
          <t>p_out (Pa)
PASTE</t>
        </is>
      </c>
      <c r="I5" s="59" t="inlineStr">
        <is>
          <t>V
(m/s)</t>
        </is>
      </c>
      <c r="J5" s="59" t="inlineStr">
        <is>
          <t>Tb
(K)</t>
        </is>
      </c>
      <c r="K5" s="59" t="inlineStr">
        <is>
          <t>h
(W/m2K)</t>
        </is>
      </c>
      <c r="L5" s="59" t="inlineStr">
        <is>
          <t>Nu</t>
        </is>
      </c>
      <c r="M5" s="59" t="inlineStr">
        <is>
          <t>dP
(Pa)</t>
        </is>
      </c>
      <c r="N5" s="59" t="inlineStr">
        <is>
          <t>f</t>
        </is>
      </c>
    </row>
    <row r="6" ht="15" customHeight="1" s="53">
      <c r="B6" s="67" t="inlineStr">
        <is>
          <t>GCI -- Fine mesh (Re=100,000 design point)</t>
        </is>
      </c>
      <c r="C6" s="85" t="n">
        <v>100000</v>
      </c>
      <c r="D6" s="86">
        <f>'GCI Mesh Independence'!$C$8</f>
        <v/>
      </c>
      <c r="E6" s="87" t="n">
        <v>500.93989</v>
      </c>
      <c r="F6" s="87" t="n">
        <v>506.45377</v>
      </c>
      <c r="G6" s="88" t="n">
        <v>368.57945</v>
      </c>
      <c r="H6" s="88" t="n">
        <v>0</v>
      </c>
      <c r="I6" s="70">
        <f>C6*'Fluid Properties'!$C$22/Inputs!$C$6</f>
        <v/>
      </c>
      <c r="J6" s="70">
        <f>IF(E6="","",(Inputs!$C$10+E6)/2)</f>
        <v/>
      </c>
      <c r="K6" s="73">
        <f>IF(OR(F6="",J6=""),"",D6/(F6-J6))</f>
        <v/>
      </c>
      <c r="L6" s="89">
        <f>IF(K6="","",K6*Inputs!$C$6/'Fluid Properties'!$C$19)</f>
        <v/>
      </c>
      <c r="M6" s="70">
        <f>IF(OR(G6="",H6=""),"",G6-H6)</f>
        <v/>
      </c>
      <c r="N6" s="90">
        <f>IF(M6="","",2*M6*Inputs!$C$6/(Inputs!$C$7*'Fluid Properties'!$C$17*I6^2))</f>
        <v/>
      </c>
    </row>
    <row r="7" ht="15" customHeight="1" s="53">
      <c r="B7" s="67" t="inlineStr">
        <is>
          <t>GCI -- Medium mesh (Re=100,000 design point)</t>
        </is>
      </c>
      <c r="C7" s="85" t="n">
        <v>100000</v>
      </c>
      <c r="D7" s="86">
        <f>'GCI Mesh Independence'!$C$8</f>
        <v/>
      </c>
      <c r="E7" s="87" t="n">
        <v>500.9411</v>
      </c>
      <c r="F7" s="87" t="n">
        <v>506.1672</v>
      </c>
      <c r="G7" s="88" t="n">
        <v>364.59766</v>
      </c>
      <c r="H7" s="88" t="n">
        <v>0</v>
      </c>
      <c r="I7" s="70">
        <f>C7*'Fluid Properties'!$C$22/Inputs!$C$6</f>
        <v/>
      </c>
      <c r="J7" s="70">
        <f>IF(E7="","",(Inputs!$C$10+E7)/2)</f>
        <v/>
      </c>
      <c r="K7" s="73">
        <f>IF(OR(F7="",J7=""),"",D7/(F7-J7))</f>
        <v/>
      </c>
      <c r="L7" s="89">
        <f>IF(K7="","",K7*Inputs!$C$6/'Fluid Properties'!$C$19)</f>
        <v/>
      </c>
      <c r="M7" s="70">
        <f>IF(OR(G7="",H7=""),"",G7-H7)</f>
        <v/>
      </c>
      <c r="N7" s="90">
        <f>IF(M7="","",2*M7*Inputs!$C$6/(Inputs!$C$7*'Fluid Properties'!$C$17*I7^2))</f>
        <v/>
      </c>
    </row>
    <row r="8" ht="15" customHeight="1" s="53">
      <c r="B8" s="67" t="inlineStr">
        <is>
          <t>GCI -- Coarse mesh (Re=100,000 design point)</t>
        </is>
      </c>
      <c r="C8" s="85" t="n">
        <v>100000</v>
      </c>
      <c r="D8" s="86">
        <f>'GCI Mesh Independence'!$C$8</f>
        <v/>
      </c>
      <c r="E8" s="87" t="n">
        <v>500.87822</v>
      </c>
      <c r="F8" s="87" t="n">
        <v>505.15696</v>
      </c>
      <c r="G8" s="88" t="n">
        <v>411.29993</v>
      </c>
      <c r="H8" s="88" t="n">
        <v>0</v>
      </c>
      <c r="I8" s="70">
        <f>C8*'Fluid Properties'!$C$22/Inputs!$C$6</f>
        <v/>
      </c>
      <c r="J8" s="70">
        <f>IF(E8="","",(Inputs!$C$10+E8)/2)</f>
        <v/>
      </c>
      <c r="K8" s="73">
        <f>IF(OR(F8="",J8=""),"",D8/(F8-J8))</f>
        <v/>
      </c>
      <c r="L8" s="89">
        <f>IF(K8="","",K8*Inputs!$C$6/'Fluid Properties'!$C$19)</f>
        <v/>
      </c>
      <c r="M8" s="70">
        <f>IF(OR(G8="",H8=""),"",G8-H8)</f>
        <v/>
      </c>
      <c r="N8" s="90">
        <f>IF(M8="","",2*M8*Inputs!$C$6/(Inputs!$C$7*'Fluid Properties'!$C$17*I8^2))</f>
        <v/>
      </c>
    </row>
    <row r="9" ht="15" customHeight="1" s="53">
      <c r="B9" s="74" t="inlineStr">
        <is>
          <t>Correlation Validation Re sweep (Tin = 500K design point held fixed for every point)</t>
        </is>
      </c>
    </row>
    <row r="10" ht="15" customHeight="1" s="53">
      <c r="B10" s="67" t="inlineStr">
        <is>
          <t>Correlation Validation -- Re=5,000</t>
        </is>
      </c>
      <c r="C10" s="85" t="n">
        <v>5000</v>
      </c>
      <c r="D10" s="86">
        <f>'GCI Mesh Independence'!$C$8</f>
        <v/>
      </c>
      <c r="E10" s="87" t="n"/>
      <c r="F10" s="87" t="n"/>
      <c r="G10" s="88" t="n"/>
      <c r="H10" s="88" t="n"/>
      <c r="I10" s="70">
        <f>C10*'Fluid Properties'!$C$22/Inputs!$C$6</f>
        <v/>
      </c>
      <c r="J10" s="70">
        <f>IF(E10="","",(Inputs!$C$10+E10)/2)</f>
        <v/>
      </c>
      <c r="K10" s="73">
        <f>IF(OR(F10="",J10=""),"",D10/(F10-J10))</f>
        <v/>
      </c>
      <c r="L10" s="89">
        <f>IF(K10="","",K10*Inputs!$C$6/'Fluid Properties'!$C$19)</f>
        <v/>
      </c>
      <c r="M10" s="70">
        <f>IF(OR(G10="",H10=""),"",G10-H10)</f>
        <v/>
      </c>
      <c r="N10" s="90">
        <f>IF(M10="","",2*M10*Inputs!$C$6/(Inputs!$C$7*'Fluid Properties'!$C$17*I10^2))</f>
        <v/>
      </c>
    </row>
    <row r="11" ht="15" customHeight="1" s="53">
      <c r="B11" s="67" t="inlineStr">
        <is>
          <t>Correlation Validation -- Re=7,500</t>
        </is>
      </c>
      <c r="C11" s="85" t="n">
        <v>7500</v>
      </c>
      <c r="D11" s="86">
        <f>'GCI Mesh Independence'!$C$8</f>
        <v/>
      </c>
      <c r="E11" s="87" t="n"/>
      <c r="F11" s="87" t="n"/>
      <c r="G11" s="88" t="n"/>
      <c r="H11" s="88" t="n"/>
      <c r="I11" s="70">
        <f>C11*'Fluid Properties'!$C$22/Inputs!$C$6</f>
        <v/>
      </c>
      <c r="J11" s="70">
        <f>IF(E11="","",(Inputs!$C$10+E11)/2)</f>
        <v/>
      </c>
      <c r="K11" s="73">
        <f>IF(OR(F11="",J11=""),"",D11/(F11-J11))</f>
        <v/>
      </c>
      <c r="L11" s="89">
        <f>IF(K11="","",K11*Inputs!$C$6/'Fluid Properties'!$C$19)</f>
        <v/>
      </c>
      <c r="M11" s="70">
        <f>IF(OR(G11="",H11=""),"",G11-H11)</f>
        <v/>
      </c>
      <c r="N11" s="90">
        <f>IF(M11="","",2*M11*Inputs!$C$6/(Inputs!$C$7*'Fluid Properties'!$C$17*I11^2))</f>
        <v/>
      </c>
    </row>
    <row r="12" ht="15" customHeight="1" s="53">
      <c r="B12" s="67" t="inlineStr">
        <is>
          <t>Correlation Validation -- Re=10,000</t>
        </is>
      </c>
      <c r="C12" s="85" t="n">
        <v>10000</v>
      </c>
      <c r="D12" s="86">
        <f>'GCI Mesh Independence'!$C$8</f>
        <v/>
      </c>
      <c r="E12" s="87" t="n"/>
      <c r="F12" s="87" t="n"/>
      <c r="G12" s="88" t="n"/>
      <c r="H12" s="88" t="n"/>
      <c r="I12" s="70">
        <f>C12*'Fluid Properties'!$C$22/Inputs!$C$6</f>
        <v/>
      </c>
      <c r="J12" s="70">
        <f>IF(E12="","",(Inputs!$C$10+E12)/2)</f>
        <v/>
      </c>
      <c r="K12" s="73">
        <f>IF(OR(F12="",J12=""),"",D12/(F12-J12))</f>
        <v/>
      </c>
      <c r="L12" s="89">
        <f>IF(K12="","",K12*Inputs!$C$6/'Fluid Properties'!$C$19)</f>
        <v/>
      </c>
      <c r="M12" s="70">
        <f>IF(OR(G12="",H12=""),"",G12-H12)</f>
        <v/>
      </c>
      <c r="N12" s="90">
        <f>IF(M12="","",2*M12*Inputs!$C$6/(Inputs!$C$7*'Fluid Properties'!$C$17*I12^2))</f>
        <v/>
      </c>
    </row>
    <row r="13" ht="15" customHeight="1" s="53">
      <c r="B13" s="67" t="inlineStr">
        <is>
          <t>Correlation Validation -- Re=20,000</t>
        </is>
      </c>
      <c r="C13" s="85" t="n">
        <v>20000</v>
      </c>
      <c r="D13" s="86">
        <f>'GCI Mesh Independence'!$C$8</f>
        <v/>
      </c>
      <c r="E13" s="87" t="n"/>
      <c r="F13" s="87" t="n"/>
      <c r="G13" s="88" t="n"/>
      <c r="H13" s="88" t="n"/>
      <c r="I13" s="70">
        <f>C13*'Fluid Properties'!$C$22/Inputs!$C$6</f>
        <v/>
      </c>
      <c r="J13" s="70">
        <f>IF(E13="","",(Inputs!$C$10+E13)/2)</f>
        <v/>
      </c>
      <c r="K13" s="73">
        <f>IF(OR(F13="",J13=""),"",D13/(F13-J13))</f>
        <v/>
      </c>
      <c r="L13" s="89">
        <f>IF(K13="","",K13*Inputs!$C$6/'Fluid Properties'!$C$19)</f>
        <v/>
      </c>
      <c r="M13" s="70">
        <f>IF(OR(G13="",H13=""),"",G13-H13)</f>
        <v/>
      </c>
      <c r="N13" s="90">
        <f>IF(M13="","",2*M13*Inputs!$C$6/(Inputs!$C$7*'Fluid Properties'!$C$17*I13^2))</f>
        <v/>
      </c>
    </row>
    <row r="14" ht="15" customHeight="1" s="53">
      <c r="B14" s="67" t="inlineStr">
        <is>
          <t>Correlation Validation -- Re=30,000</t>
        </is>
      </c>
      <c r="C14" s="85" t="n">
        <v>30000</v>
      </c>
      <c r="D14" s="86">
        <f>'GCI Mesh Independence'!$C$8</f>
        <v/>
      </c>
      <c r="E14" s="87" t="n"/>
      <c r="F14" s="87" t="n"/>
      <c r="G14" s="88" t="n"/>
      <c r="H14" s="88" t="n"/>
      <c r="I14" s="70">
        <f>C14*'Fluid Properties'!$C$22/Inputs!$C$6</f>
        <v/>
      </c>
      <c r="J14" s="70">
        <f>IF(E14="","",(Inputs!$C$10+E14)/2)</f>
        <v/>
      </c>
      <c r="K14" s="73">
        <f>IF(OR(F14="",J14=""),"",D14/(F14-J14))</f>
        <v/>
      </c>
      <c r="L14" s="89">
        <f>IF(K14="","",K14*Inputs!$C$6/'Fluid Properties'!$C$19)</f>
        <v/>
      </c>
      <c r="M14" s="70">
        <f>IF(OR(G14="",H14=""),"",G14-H14)</f>
        <v/>
      </c>
      <c r="N14" s="90">
        <f>IF(M14="","",2*M14*Inputs!$C$6/(Inputs!$C$7*'Fluid Properties'!$C$17*I14^2))</f>
        <v/>
      </c>
    </row>
    <row r="15" ht="15" customHeight="1" s="53">
      <c r="B15" s="67" t="inlineStr">
        <is>
          <t>Correlation Validation -- Re=50,000</t>
        </is>
      </c>
      <c r="C15" s="85" t="n">
        <v>50000</v>
      </c>
      <c r="D15" s="86">
        <f>'GCI Mesh Independence'!$C$8</f>
        <v/>
      </c>
      <c r="E15" s="87" t="n"/>
      <c r="F15" s="87" t="n"/>
      <c r="G15" s="88" t="n"/>
      <c r="H15" s="88" t="n"/>
      <c r="I15" s="70">
        <f>C15*'Fluid Properties'!$C$22/Inputs!$C$6</f>
        <v/>
      </c>
      <c r="J15" s="70">
        <f>IF(E15="","",(Inputs!$C$10+E15)/2)</f>
        <v/>
      </c>
      <c r="K15" s="73">
        <f>IF(OR(F15="",J15=""),"",D15/(F15-J15))</f>
        <v/>
      </c>
      <c r="L15" s="89">
        <f>IF(K15="","",K15*Inputs!$C$6/'Fluid Properties'!$C$19)</f>
        <v/>
      </c>
      <c r="M15" s="70">
        <f>IF(OR(G15="",H15=""),"",G15-H15)</f>
        <v/>
      </c>
      <c r="N15" s="90">
        <f>IF(M15="","",2*M15*Inputs!$C$6/(Inputs!$C$7*'Fluid Properties'!$C$17*I15^2))</f>
        <v/>
      </c>
    </row>
    <row r="16" ht="15" customHeight="1" s="53">
      <c r="B16" s="67" t="inlineStr">
        <is>
          <t>Correlation Validation -- Re=70,000</t>
        </is>
      </c>
      <c r="C16" s="85" t="n">
        <v>70000</v>
      </c>
      <c r="D16" s="86">
        <f>'GCI Mesh Independence'!$C$8</f>
        <v/>
      </c>
      <c r="E16" s="87" t="n"/>
      <c r="F16" s="87" t="n"/>
      <c r="G16" s="88" t="n"/>
      <c r="H16" s="88" t="n"/>
      <c r="I16" s="70">
        <f>C16*'Fluid Properties'!$C$22/Inputs!$C$6</f>
        <v/>
      </c>
      <c r="J16" s="70">
        <f>IF(E16="","",(Inputs!$C$10+E16)/2)</f>
        <v/>
      </c>
      <c r="K16" s="73">
        <f>IF(OR(F16="",J16=""),"",D16/(F16-J16))</f>
        <v/>
      </c>
      <c r="L16" s="89">
        <f>IF(K16="","",K16*Inputs!$C$6/'Fluid Properties'!$C$19)</f>
        <v/>
      </c>
      <c r="M16" s="70">
        <f>IF(OR(G16="",H16=""),"",G16-H16)</f>
        <v/>
      </c>
      <c r="N16" s="90">
        <f>IF(M16="","",2*M16*Inputs!$C$6/(Inputs!$C$7*'Fluid Properties'!$C$17*I16^2))</f>
        <v/>
      </c>
    </row>
    <row r="17" ht="15" customHeight="1" s="53">
      <c r="B17" s="67" t="inlineStr">
        <is>
          <t>Correlation Validation -- Re=100,000</t>
        </is>
      </c>
      <c r="C17" s="85" t="n">
        <v>100000</v>
      </c>
      <c r="D17" s="86">
        <f>'GCI Mesh Independence'!$C$8</f>
        <v/>
      </c>
      <c r="E17" s="87" t="n"/>
      <c r="F17" s="87" t="n"/>
      <c r="G17" s="88" t="n"/>
      <c r="H17" s="88" t="n"/>
      <c r="I17" s="70">
        <f>C17*'Fluid Properties'!$C$22/Inputs!$C$6</f>
        <v/>
      </c>
      <c r="J17" s="70">
        <f>IF(E17="","",(Inputs!$C$10+E17)/2)</f>
        <v/>
      </c>
      <c r="K17" s="73">
        <f>IF(OR(F17="",J17=""),"",D17/(F17-J17))</f>
        <v/>
      </c>
      <c r="L17" s="89">
        <f>IF(K17="","",K17*Inputs!$C$6/'Fluid Properties'!$C$19)</f>
        <v/>
      </c>
      <c r="M17" s="70">
        <f>IF(OR(G17="",H17=""),"",G17-H17)</f>
        <v/>
      </c>
      <c r="N17" s="90">
        <f>IF(M17="","",2*M17*Inputs!$C$6/(Inputs!$C$7*'Fluid Properties'!$C$17*I17^2))</f>
        <v/>
      </c>
    </row>
    <row r="19" ht="39.75" customHeight="1" s="53">
      <c r="B19" s="65" t="inlineStr">
        <is>
          <t>q'' pulls from the single wall-heat-flux input on the GCI sheet -- keep it identical across every run. V = Re . nu / D (kinematic viscosity, Fluid Properties sheet). f uses this row's own V, so it is correct at every Re, not just the Re=100,000 GCI design point.</t>
        </is>
      </c>
    </row>
  </sheetData>
  <mergeCells count="3">
    <mergeCell ref="B9:N9"/>
    <mergeCell ref="B3:N3"/>
    <mergeCell ref="B19:N1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B2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10" customWidth="1" style="52" min="2" max="2"/>
    <col width="12" customWidth="1" style="52" min="3" max="5"/>
    <col width="16" customWidth="1" style="52" min="6" max="6"/>
    <col width="12" customWidth="1" style="52" min="7" max="7"/>
    <col width="16" customWidth="1" style="52" min="8" max="8"/>
    <col width="12" customWidth="1" style="52" min="9" max="9"/>
    <col width="3" customWidth="1" style="52" min="10" max="10"/>
  </cols>
  <sheetData>
    <row r="2" ht="17.35" customHeight="1" s="53">
      <c r="B2" s="54" t="inlineStr">
        <is>
          <t>Smooth-Tube Validation vs Gnielinski / Petukhov</t>
        </is>
      </c>
    </row>
    <row r="3" ht="27.75" customHeight="1" s="53">
      <c r="B3" s="65" t="inlineStr">
        <is>
          <t>Nu CFD and f CFD pull automatically from the Results Calculator sheet (enter your raw T_out/T_wall/p_in/p_out there, per Re). Deviation % and PASS/FAIL compute automatically against the thresholds in your solver_and_formulas.md (Nu &lt;= 9%, f &lt;= 5%).</t>
        </is>
      </c>
    </row>
    <row r="5" ht="30" customHeight="1" s="53">
      <c r="B5" s="59" t="inlineStr">
        <is>
          <t>Re</t>
        </is>
      </c>
      <c r="C5" s="59" t="inlineStr">
        <is>
          <t>f Petukhov
(target)</t>
        </is>
      </c>
      <c r="D5" s="59" t="inlineStr">
        <is>
          <t>Nu Gnielinski
(target)</t>
        </is>
      </c>
      <c r="E5" s="59" t="inlineStr">
        <is>
          <t>Nu Dittus-
Boelter (ref.)</t>
        </is>
      </c>
      <c r="F5" s="59" t="inlineStr">
        <is>
          <t>Nu CFD
(fill in)</t>
        </is>
      </c>
      <c r="G5" s="59" t="inlineStr">
        <is>
          <t>Nu dev.
%</t>
        </is>
      </c>
      <c r="H5" s="59" t="inlineStr">
        <is>
          <t>f CFD
(fill in)</t>
        </is>
      </c>
      <c r="I5" s="59" t="inlineStr">
        <is>
          <t>f dev.
%</t>
        </is>
      </c>
    </row>
    <row r="6" ht="15" customHeight="1" s="53">
      <c r="B6" s="85" t="n">
        <v>5000</v>
      </c>
      <c r="C6" s="70">
        <f>(0.79*LN(B6)-1.64)^-2</f>
        <v/>
      </c>
      <c r="D6" s="73">
        <f>(C6/8)*(B6-1000)*'Fluid Properties'!$C$24/(1+12.7*(C6/8)^0.5*('Fluid Properties'!$C$24^(2/3)-1))</f>
        <v/>
      </c>
      <c r="E6" s="73">
        <f>0.023*B6^0.8*'Fluid Properties'!$C$24^0.4</f>
        <v/>
      </c>
      <c r="F6" s="69">
        <f>IF('Results Calculator'!L10="","",'Results Calculator'!L10)</f>
        <v/>
      </c>
      <c r="G6" s="91">
        <f>IF(F6="","",ABS(F6-D6)/D6)</f>
        <v/>
      </c>
      <c r="H6" s="69">
        <f>IF('Results Calculator'!N10="","",'Results Calculator'!N10)</f>
        <v/>
      </c>
      <c r="I6" s="91">
        <f>IF(H6="","",ABS(H6-C6)/C6)</f>
        <v/>
      </c>
    </row>
    <row r="7" ht="15" customHeight="1" s="53">
      <c r="B7" s="85" t="n">
        <v>7500</v>
      </c>
      <c r="C7" s="70">
        <f>(0.79*LN(B7)-1.64)^-2</f>
        <v/>
      </c>
      <c r="D7" s="73">
        <f>(C7/8)*(B7-1000)*'Fluid Properties'!$C$24/(1+12.7*(C7/8)^0.5*('Fluid Properties'!$C$24^(2/3)-1))</f>
        <v/>
      </c>
      <c r="E7" s="73">
        <f>0.023*B7^0.8*'Fluid Properties'!$C$24^0.4</f>
        <v/>
      </c>
      <c r="F7" s="69">
        <f>IF('Results Calculator'!L11="","",'Results Calculator'!L11)</f>
        <v/>
      </c>
      <c r="G7" s="91">
        <f>IF(F7="","",ABS(F7-D7)/D7)</f>
        <v/>
      </c>
      <c r="H7" s="69">
        <f>IF('Results Calculator'!N11="","",'Results Calculator'!N11)</f>
        <v/>
      </c>
      <c r="I7" s="91">
        <f>IF(H7="","",ABS(H7-C7)/C7)</f>
        <v/>
      </c>
    </row>
    <row r="8" ht="15" customHeight="1" s="53">
      <c r="B8" s="85" t="n">
        <v>10000</v>
      </c>
      <c r="C8" s="70">
        <f>(0.79*LN(B8)-1.64)^-2</f>
        <v/>
      </c>
      <c r="D8" s="73">
        <f>(C8/8)*(B8-1000)*'Fluid Properties'!$C$24/(1+12.7*(C8/8)^0.5*('Fluid Properties'!$C$24^(2/3)-1))</f>
        <v/>
      </c>
      <c r="E8" s="73">
        <f>0.023*B8^0.8*'Fluid Properties'!$C$24^0.4</f>
        <v/>
      </c>
      <c r="F8" s="69">
        <f>IF('Results Calculator'!L12="","",'Results Calculator'!L12)</f>
        <v/>
      </c>
      <c r="G8" s="91">
        <f>IF(F8="","",ABS(F8-D8)/D8)</f>
        <v/>
      </c>
      <c r="H8" s="69">
        <f>IF('Results Calculator'!N12="","",'Results Calculator'!N12)</f>
        <v/>
      </c>
      <c r="I8" s="91">
        <f>IF(H8="","",ABS(H8-C8)/C8)</f>
        <v/>
      </c>
    </row>
    <row r="9" ht="15" customHeight="1" s="53">
      <c r="B9" s="85" t="n">
        <v>20000</v>
      </c>
      <c r="C9" s="70">
        <f>(0.79*LN(B9)-1.64)^-2</f>
        <v/>
      </c>
      <c r="D9" s="73">
        <f>(C9/8)*(B9-1000)*'Fluid Properties'!$C$24/(1+12.7*(C9/8)^0.5*('Fluid Properties'!$C$24^(2/3)-1))</f>
        <v/>
      </c>
      <c r="E9" s="73">
        <f>0.023*B9^0.8*'Fluid Properties'!$C$24^0.4</f>
        <v/>
      </c>
      <c r="F9" s="69">
        <f>IF('Results Calculator'!L13="","",'Results Calculator'!L13)</f>
        <v/>
      </c>
      <c r="G9" s="91">
        <f>IF(F9="","",ABS(F9-D9)/D9)</f>
        <v/>
      </c>
      <c r="H9" s="69">
        <f>IF('Results Calculator'!N13="","",'Results Calculator'!N13)</f>
        <v/>
      </c>
      <c r="I9" s="91">
        <f>IF(H9="","",ABS(H9-C9)/C9)</f>
        <v/>
      </c>
    </row>
    <row r="10" ht="15" customHeight="1" s="53">
      <c r="B10" s="85" t="n">
        <v>30000</v>
      </c>
      <c r="C10" s="70">
        <f>(0.79*LN(B10)-1.64)^-2</f>
        <v/>
      </c>
      <c r="D10" s="73">
        <f>(C10/8)*(B10-1000)*'Fluid Properties'!$C$24/(1+12.7*(C10/8)^0.5*('Fluid Properties'!$C$24^(2/3)-1))</f>
        <v/>
      </c>
      <c r="E10" s="73">
        <f>0.023*B10^0.8*'Fluid Properties'!$C$24^0.4</f>
        <v/>
      </c>
      <c r="F10" s="69">
        <f>IF('Results Calculator'!L14="","",'Results Calculator'!L14)</f>
        <v/>
      </c>
      <c r="G10" s="91">
        <f>IF(F10="","",ABS(F10-D10)/D10)</f>
        <v/>
      </c>
      <c r="H10" s="69">
        <f>IF('Results Calculator'!N14="","",'Results Calculator'!N14)</f>
        <v/>
      </c>
      <c r="I10" s="91">
        <f>IF(H10="","",ABS(H10-C10)/C10)</f>
        <v/>
      </c>
    </row>
    <row r="11" ht="15" customHeight="1" s="53">
      <c r="B11" s="85" t="n">
        <v>50000</v>
      </c>
      <c r="C11" s="70">
        <f>(0.79*LN(B11)-1.64)^-2</f>
        <v/>
      </c>
      <c r="D11" s="73">
        <f>(C11/8)*(B11-1000)*'Fluid Properties'!$C$24/(1+12.7*(C11/8)^0.5*('Fluid Properties'!$C$24^(2/3)-1))</f>
        <v/>
      </c>
      <c r="E11" s="73">
        <f>0.023*B11^0.8*'Fluid Properties'!$C$24^0.4</f>
        <v/>
      </c>
      <c r="F11" s="69">
        <f>IF('Results Calculator'!L15="","",'Results Calculator'!L15)</f>
        <v/>
      </c>
      <c r="G11" s="91">
        <f>IF(F11="","",ABS(F11-D11)/D11)</f>
        <v/>
      </c>
      <c r="H11" s="69">
        <f>IF('Results Calculator'!N15="","",'Results Calculator'!N15)</f>
        <v/>
      </c>
      <c r="I11" s="91">
        <f>IF(H11="","",ABS(H11-C11)/C11)</f>
        <v/>
      </c>
    </row>
    <row r="12" ht="15" customHeight="1" s="53">
      <c r="B12" s="85" t="n">
        <v>70000</v>
      </c>
      <c r="C12" s="70">
        <f>(0.79*LN(B12)-1.64)^-2</f>
        <v/>
      </c>
      <c r="D12" s="73">
        <f>(C12/8)*(B12-1000)*'Fluid Properties'!$C$24/(1+12.7*(C12/8)^0.5*('Fluid Properties'!$C$24^(2/3)-1))</f>
        <v/>
      </c>
      <c r="E12" s="73">
        <f>0.023*B12^0.8*'Fluid Properties'!$C$24^0.4</f>
        <v/>
      </c>
      <c r="F12" s="69">
        <f>IF('Results Calculator'!L16="","",'Results Calculator'!L16)</f>
        <v/>
      </c>
      <c r="G12" s="91">
        <f>IF(F12="","",ABS(F12-D12)/D12)</f>
        <v/>
      </c>
      <c r="H12" s="69">
        <f>IF('Results Calculator'!N16="","",'Results Calculator'!N16)</f>
        <v/>
      </c>
      <c r="I12" s="91">
        <f>IF(H12="","",ABS(H12-C12)/C12)</f>
        <v/>
      </c>
    </row>
    <row r="13" ht="15" customHeight="1" s="53">
      <c r="B13" s="85" t="n">
        <v>100000</v>
      </c>
      <c r="C13" s="70">
        <f>(0.79*LN(B13)-1.64)^-2</f>
        <v/>
      </c>
      <c r="D13" s="73">
        <f>(C13/8)*(B13-1000)*'Fluid Properties'!$C$24/(1+12.7*(C13/8)^0.5*('Fluid Properties'!$C$24^(2/3)-1))</f>
        <v/>
      </c>
      <c r="E13" s="73">
        <f>0.023*B13^0.8*'Fluid Properties'!$C$24^0.4</f>
        <v/>
      </c>
      <c r="F13" s="69">
        <f>IF('Results Calculator'!L17="","",'Results Calculator'!L17)</f>
        <v/>
      </c>
      <c r="G13" s="91">
        <f>IF(F13="","",ABS(F13-D13)/D13)</f>
        <v/>
      </c>
      <c r="H13" s="69">
        <f>IF('Results Calculator'!N17="","",'Results Calculator'!N17)</f>
        <v/>
      </c>
      <c r="I13" s="91">
        <f>IF(H13="","",ABS(H13-C13)/C13)</f>
        <v/>
      </c>
    </row>
    <row r="15" ht="54.75" customHeight="1" s="53">
      <c r="B15" s="65" t="inlineStr">
        <is>
          <t>Thresholds source: solver_and_formulas.md, 'Expected agreement: Nu &lt;= ~9% max deviation, f &lt;= ~5% max deviation'. Pr held fixed at the Tb=500K design point (Fluid Properties sheet) for this whole sweep, matching the validation plan in CLAUDE.md ('Re 5k-100k, Tb=500K'). Dittus-Boelter column is a secondary reference only (per your roadmap doc) -- Gnielinski is the primary target because it is valid over your full Re range and is what CLAUDE.md specifies.</t>
        </is>
      </c>
    </row>
  </sheetData>
  <mergeCells count="2">
    <mergeCell ref="B3:I3"/>
    <mergeCell ref="B15:I15"/>
  </mergeCells>
  <conditionalFormatting sqref="G6:G13">
    <cfRule type="cellIs" rank="0" priority="2" equalAverage="0" operator="lessThanOrEqual" aboveAverage="0" dxfId="0" text="" percent="0" bottom="0">
      <formula>0.09</formula>
    </cfRule>
    <cfRule type="cellIs" rank="0" priority="3" equalAverage="0" operator="greaterThan" aboveAverage="0" dxfId="1" text="" percent="0" bottom="0">
      <formula>0.09</formula>
    </cfRule>
  </conditionalFormatting>
  <conditionalFormatting sqref="I6:I13">
    <cfRule type="cellIs" rank="0" priority="4" equalAverage="0" operator="lessThanOrEqual" aboveAverage="0" dxfId="0" text="" percent="0" bottom="0">
      <formula>0.05</formula>
    </cfRule>
    <cfRule type="cellIs" rank="0" priority="5" equalAverage="0" operator="greaterThan" aboveAverage="0" dxfId="1" text="" percent="0" bottom="0">
      <formula>0.05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B2:E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42" customWidth="1" style="52" min="2" max="2"/>
    <col width="16" customWidth="1" style="52" min="3" max="5"/>
    <col width="3" customWidth="1" style="52" min="6" max="6"/>
  </cols>
  <sheetData>
    <row r="2" ht="17.35" customHeight="1" s="53">
      <c r="B2" s="54" t="inlineStr">
        <is>
          <t>Grid Convergence Index (Celik et al. 2008)</t>
        </is>
      </c>
    </row>
    <row r="3" ht="39.75" customHeight="1" s="53">
      <c r="B3" s="65" t="inlineStr">
        <is>
          <t>Run your smooth-tube geometry at ALL THREE mesh levels (Mesh Levels sheet), at ONE fixed Re (recommended: 100,000, your y+ design point). Enter your raw T_out/T_wall/p_in/p_out on the Results Calculator sheet (rows 6-8) -- everything below pulls from there automatically.</t>
        </is>
      </c>
    </row>
    <row r="5" ht="15" customHeight="1" s="53">
      <c r="B5" s="60" t="inlineStr">
        <is>
          <t>Validation Re used for this mesh-independence study</t>
        </is>
      </c>
      <c r="C5" s="85" t="n">
        <v>100000</v>
      </c>
    </row>
    <row r="7" ht="15" customHeight="1" s="53">
      <c r="B7" s="92" t="inlineStr">
        <is>
          <t>Raw Fluent Extraction (linked from Results Calculator -- enter raw numbers there, rows 6-8)</t>
        </is>
      </c>
    </row>
    <row r="8" ht="15" customHeight="1" s="53">
      <c r="B8" s="60" t="inlineStr">
        <is>
          <t>Wall heat flux, q'' (W/m²) -- must match your Fluent Wall BC, same for every mesh level</t>
        </is>
      </c>
      <c r="C8" s="93" t="n">
        <v>5000</v>
      </c>
    </row>
    <row r="10" ht="30" customHeight="1" s="53">
      <c r="B10" s="59" t="inlineStr">
        <is>
          <t>Parameter</t>
        </is>
      </c>
      <c r="C10" s="59" t="inlineStr">
        <is>
          <t>Fine (1)</t>
        </is>
      </c>
      <c r="D10" s="59" t="inlineStr">
        <is>
          <t>Medium (2)</t>
        </is>
      </c>
      <c r="E10" s="59" t="inlineStr">
        <is>
          <t>Coarse (3)</t>
        </is>
      </c>
    </row>
    <row r="11" ht="15" customHeight="1" s="53">
      <c r="B11" s="60" t="inlineStr">
        <is>
          <t>Outlet bulk temperature, T_out (K)  --  linked from Results Calculator</t>
        </is>
      </c>
      <c r="C11" s="94">
        <f>IF('Results Calculator'!E6="","",'Results Calculator'!E6)</f>
        <v/>
      </c>
      <c r="D11" s="94">
        <f>IF('Results Calculator'!E7="","",'Results Calculator'!E7)</f>
        <v/>
      </c>
      <c r="E11" s="94">
        <f>IF('Results Calculator'!E8="","",'Results Calculator'!E8)</f>
        <v/>
      </c>
    </row>
    <row r="12" ht="15" customHeight="1" s="53">
      <c r="B12" s="60" t="inlineStr">
        <is>
          <t>Wall temperature, T_wall (K)  --  linked from Results Calculator</t>
        </is>
      </c>
      <c r="C12" s="94">
        <f>IF('Results Calculator'!F6="","",'Results Calculator'!F6)</f>
        <v/>
      </c>
      <c r="D12" s="94">
        <f>IF('Results Calculator'!F7="","",'Results Calculator'!F7)</f>
        <v/>
      </c>
      <c r="E12" s="94">
        <f>IF('Results Calculator'!F8="","",'Results Calculator'!F8)</f>
        <v/>
      </c>
    </row>
    <row r="13" ht="15" customHeight="1" s="53">
      <c r="B13" s="60" t="inlineStr">
        <is>
          <t>Inlet pressure, p_in (Pa)  --  linked from Results Calculator</t>
        </is>
      </c>
      <c r="C13" s="95">
        <f>IF('Results Calculator'!G6="","",'Results Calculator'!G6)</f>
        <v/>
      </c>
      <c r="D13" s="95">
        <f>IF('Results Calculator'!G7="","",'Results Calculator'!G7)</f>
        <v/>
      </c>
      <c r="E13" s="95">
        <f>IF('Results Calculator'!G8="","",'Results Calculator'!G8)</f>
        <v/>
      </c>
    </row>
    <row r="14" ht="15" customHeight="1" s="53">
      <c r="B14" s="60" t="inlineStr">
        <is>
          <t>Outlet pressure, p_out (Pa)  --  linked from Results Calculator</t>
        </is>
      </c>
      <c r="C14" s="95">
        <f>IF('Results Calculator'!H6="","",'Results Calculator'!H6)</f>
        <v/>
      </c>
      <c r="D14" s="95">
        <f>IF('Results Calculator'!H7="","",'Results Calculator'!H7)</f>
        <v/>
      </c>
      <c r="E14" s="95">
        <f>IF('Results Calculator'!H8="","",'Results Calculator'!H8)</f>
        <v/>
      </c>
    </row>
    <row r="16" ht="15" customHeight="1" s="53">
      <c r="B16" s="60" t="inlineStr">
        <is>
          <t>Bulk temperature, Tb = (T_in + T_out) / 2  (K)</t>
        </is>
      </c>
      <c r="C16" s="70">
        <f>IF(C11="","",(Inputs!$C$10+C11)/2)</f>
        <v/>
      </c>
      <c r="D16" s="70">
        <f>IF(D11="","",(Inputs!$C$10+D11)/2)</f>
        <v/>
      </c>
      <c r="E16" s="70">
        <f>IF(E11="","",(Inputs!$C$10+E11)/2)</f>
        <v/>
      </c>
    </row>
    <row r="17" ht="15" customHeight="1" s="53">
      <c r="B17" s="60" t="inlineStr">
        <is>
          <t>Heat transfer coefficient, h = q'' / (T_wall - Tb)  (W/m²·K)</t>
        </is>
      </c>
      <c r="C17" s="73">
        <f>IF(OR(C12="",C16=""),"",$C$8/(C12-C16))</f>
        <v/>
      </c>
      <c r="D17" s="73">
        <f>IF(OR(D12="",D16=""),"",$C$8/(D12-D16))</f>
        <v/>
      </c>
      <c r="E17" s="73">
        <f>IF(OR(E12="",E16=""),"",$C$8/(E12-E16))</f>
        <v/>
      </c>
    </row>
    <row r="18" ht="15" customHeight="1" s="53">
      <c r="B18" s="56" t="inlineStr">
        <is>
          <t>Nu = h · D / k</t>
        </is>
      </c>
      <c r="C18" s="89">
        <f>IF(C17="","",C17*Inputs!$C$6/'Fluid Properties'!$C$19)</f>
        <v/>
      </c>
      <c r="D18" s="89">
        <f>IF(D17="","",D17*Inputs!$C$6/'Fluid Properties'!$C$19)</f>
        <v/>
      </c>
      <c r="E18" s="89">
        <f>IF(E17="","",E17*Inputs!$C$6/'Fluid Properties'!$C$19)</f>
        <v/>
      </c>
    </row>
    <row r="19" ht="15" customHeight="1" s="53">
      <c r="B19" s="60" t="inlineStr">
        <is>
          <t>Pressure drop, ΔP = p_in - p_out  (Pa)</t>
        </is>
      </c>
      <c r="C19" s="70">
        <f>IF(OR(C13="",C14=""),"",C13-C14)</f>
        <v/>
      </c>
      <c r="D19" s="70">
        <f>IF(OR(D13="",D14=""),"",D13-D14)</f>
        <v/>
      </c>
      <c r="E19" s="70">
        <f>IF(OR(E13="",E14=""),"",E13-E14)</f>
        <v/>
      </c>
    </row>
    <row r="20" ht="15" customHeight="1" s="53">
      <c r="B20" s="56" t="inlineStr">
        <is>
          <t>f = 2 · ΔP · D / (L · ρ · V²)</t>
        </is>
      </c>
      <c r="C20" s="90">
        <f>IF(C19="","",2*C19*Inputs!$C$6/(Inputs!$C$7*'Fluid Properties'!$C$17*'YPlus Inflation'!$D$10^2))</f>
        <v/>
      </c>
      <c r="D20" s="90">
        <f>IF(D19="","",2*D19*Inputs!$C$6/(Inputs!$C$7*'Fluid Properties'!$C$17*'YPlus Inflation'!$D$10^2))</f>
        <v/>
      </c>
      <c r="E20" s="90">
        <f>IF(E19="","",2*E19*Inputs!$C$6/(Inputs!$C$7*'Fluid Properties'!$C$17*'YPlus Inflation'!$D$10^2))</f>
        <v/>
      </c>
    </row>
    <row r="21" ht="30" customHeight="1" s="53">
      <c r="B21" s="65" t="inlineStr">
        <is>
          <t>V here uses the Re=100,000 design velocity from YPlus Inflation (0.9567 m/s) -- correct as long as this GCI study is run at Re=100,000 (row 5 above). ρ and k come from Fluid Properties at Tb=500K.</t>
        </is>
      </c>
    </row>
    <row r="23" ht="15" customHeight="1" s="53">
      <c r="B23" s="92" t="inlineStr">
        <is>
          <t>Mesh Comparison Summary -- Nu and f across mesh levels (this is where you see the difference)</t>
        </is>
      </c>
    </row>
    <row r="24" ht="30" customHeight="1" s="53">
      <c r="B24" s="59" t="inlineStr">
        <is>
          <t>Parameter</t>
        </is>
      </c>
      <c r="C24" s="59" t="inlineStr">
        <is>
          <t>Fine (1)</t>
        </is>
      </c>
      <c r="D24" s="59" t="inlineStr">
        <is>
          <t>Medium (2)</t>
        </is>
      </c>
      <c r="E24" s="59" t="inlineStr">
        <is>
          <t>Coarse (3)</t>
        </is>
      </c>
    </row>
    <row r="25" ht="15" customHeight="1" s="53">
      <c r="B25" s="56" t="inlineStr">
        <is>
          <t>Nu</t>
        </is>
      </c>
      <c r="C25" s="69">
        <f>IF(C18="","",C18)</f>
        <v/>
      </c>
      <c r="D25" s="69">
        <f>IF(D18="","",D18)</f>
        <v/>
      </c>
      <c r="E25" s="69">
        <f>IF(E18="","",E18)</f>
        <v/>
      </c>
    </row>
    <row r="26" ht="15" customHeight="1" s="53">
      <c r="B26" s="56" t="inlineStr">
        <is>
          <t>f</t>
        </is>
      </c>
      <c r="C26" s="94">
        <f>IF(C20="","",C20)</f>
        <v/>
      </c>
      <c r="D26" s="94">
        <f>IF(D20="","",D20)</f>
        <v/>
      </c>
      <c r="E26" s="94">
        <f>IF(E20="","",E20)</f>
        <v/>
      </c>
    </row>
    <row r="28" ht="15" customHeight="1" s="53">
      <c r="B28" s="57" t="inlineStr">
        <is>
          <t>% change in Nu, Fine -&gt; Medium  /  Medium -&gt; Coarse</t>
        </is>
      </c>
      <c r="C28" s="96">
        <f>IF(OR(C25="",D25=""),"",(D25-C25)/C25)</f>
        <v/>
      </c>
      <c r="D28" s="96">
        <f>IF(OR(D25="",E25=""),"",(E25-D25)/D25)</f>
        <v/>
      </c>
    </row>
    <row r="29" ht="15" customHeight="1" s="53">
      <c r="B29" s="57" t="inlineStr">
        <is>
          <t>% change in f, Fine -&gt; Medium  /  Medium -&gt; Coarse</t>
        </is>
      </c>
      <c r="C29" s="96">
        <f>IF(OR(C26="",D26=""),"",(D26-C26)/C26)</f>
        <v/>
      </c>
      <c r="D29" s="96">
        <f>IF(OR(D26="",E26=""),"",(E26-D26)/D26)</f>
        <v/>
      </c>
    </row>
    <row r="30" ht="30" customHeight="1" s="53">
      <c r="B30" s="65" t="inlineStr">
        <is>
          <t>These % changes are a quick visual check while you're entering results. The formal, weighted mesh-independence verdict (GCI%) is computed in the two blocks below -- use GCI%, not this row, to decide pass/fail.</t>
        </is>
      </c>
    </row>
    <row r="32" ht="15" customHeight="1" s="53">
      <c r="B32" s="92" t="inlineStr">
        <is>
          <t>Nusselt Number (Nu) Mesh Independence</t>
        </is>
      </c>
    </row>
    <row r="33" ht="30" customHeight="1" s="53">
      <c r="B33" s="59" t="inlineStr">
        <is>
          <t>Parameter</t>
        </is>
      </c>
      <c r="C33" s="59" t="inlineStr">
        <is>
          <t>Fine (1)</t>
        </is>
      </c>
      <c r="D33" s="59" t="inlineStr">
        <is>
          <t>Medium (2)</t>
        </is>
      </c>
      <c r="E33" s="59" t="inlineStr">
        <is>
          <t>Coarse (3)</t>
        </is>
      </c>
    </row>
    <row r="34" ht="15" customHeight="1" s="53">
      <c r="B34" s="60" t="inlineStr">
        <is>
          <t>Representative cell size, h (mm)</t>
        </is>
      </c>
      <c r="C34" s="95">
        <f>'Mesh Levels'!$E$29</f>
        <v/>
      </c>
      <c r="D34" s="95">
        <f>'Mesh Levels'!$D$29</f>
        <v/>
      </c>
      <c r="E34" s="95">
        <f>'Mesh Levels'!$C$29</f>
        <v/>
      </c>
    </row>
    <row r="35" ht="15" customHeight="1" s="53">
      <c r="B35" s="60" t="inlineStr">
        <is>
          <t>Nu result  --  auto-computed from Raw Fluent Extraction above</t>
        </is>
      </c>
      <c r="C35" s="94">
        <f>IF(C18="","",C18)</f>
        <v/>
      </c>
      <c r="D35" s="94">
        <f>IF(D18="","",D18)</f>
        <v/>
      </c>
      <c r="E35" s="94">
        <f>IF(E18="","",E18)</f>
        <v/>
      </c>
    </row>
    <row r="37" ht="15" customHeight="1" s="53">
      <c r="B37" s="60" t="inlineStr">
        <is>
          <t>r21 = h2/h1  (medium/fine)</t>
        </is>
      </c>
      <c r="C37" s="78">
        <f>D34/C34</f>
        <v/>
      </c>
    </row>
    <row r="38" ht="15" customHeight="1" s="53">
      <c r="B38" s="60" t="inlineStr">
        <is>
          <t>r32 = h3/h2  (coarse/medium)</t>
        </is>
      </c>
      <c r="C38" s="78">
        <f>E34/D34</f>
        <v/>
      </c>
    </row>
    <row r="39" ht="15" customHeight="1" s="53">
      <c r="B39" s="60" t="inlineStr">
        <is>
          <t>ε21 = φ2 - φ1</t>
        </is>
      </c>
      <c r="C39" s="70">
        <f>IF(OR(C35="",D35=""),"",D35-C35)</f>
        <v/>
      </c>
    </row>
    <row r="40" ht="15" customHeight="1" s="53">
      <c r="B40" s="60" t="inlineStr">
        <is>
          <t>ε32 = φ3 - φ2</t>
        </is>
      </c>
      <c r="C40" s="70">
        <f>IF(OR(D35="",E35=""),"",E35-D35)</f>
        <v/>
      </c>
    </row>
    <row r="41" ht="15" customHeight="1" s="53">
      <c r="B41" s="56" t="inlineStr">
        <is>
          <t>Convergence ratio, R = ε21 / ε32</t>
        </is>
      </c>
      <c r="C41" s="97">
        <f>IF(OR(C39="",C40=""),"",C39/C40)</f>
        <v/>
      </c>
    </row>
    <row r="42" ht="27.75" customHeight="1" s="53">
      <c r="B42" s="56" t="inlineStr">
        <is>
          <t>Convergence classification</t>
        </is>
      </c>
      <c r="C42" s="98">
        <f>IF(C41="","",IF(C41&lt;0,"FAIL -- OSCILLATORY (GCI/order below not usable)",IF(ABS(C41)&gt;1,"FAIL -- MONOTONIC DIVERGENCE (GCI/order below not usable)","PASS -- monotonic convergence, GCI below is usable")))</f>
        <v/>
      </c>
    </row>
    <row r="43" ht="27.75" customHeight="1" s="53">
      <c r="B43" s="57" t="inlineStr">
        <is>
          <t>Apparent order, p  =  ln|ε32/ε21| / ln(r)
(exact when r21≈r32, valid here by construction)</t>
        </is>
      </c>
      <c r="C43" s="78">
        <f>IF(OR(C39="",C40=""),"",LN(ABS(C40/C39))/LN(C37))</f>
        <v/>
      </c>
    </row>
    <row r="44" ht="27.75" customHeight="1" s="53">
      <c r="B44" s="57" t="inlineStr">
        <is>
          <t>Richardson-extrapolated value, φ_ext21 = (r21^p·φ1 - φ2) / (r21^p - 1)</t>
        </is>
      </c>
      <c r="C44" s="70">
        <f>IF(C43="","",(C37^C43*C35-D35)/(C37^C43-1))</f>
        <v/>
      </c>
    </row>
    <row r="45" ht="15" customHeight="1" s="53">
      <c r="B45" s="60" t="inlineStr">
        <is>
          <t>Approximate relative error, e_a21 = |(φ1-φ2)/φ1|</t>
        </is>
      </c>
      <c r="C45" s="96">
        <f>IF(OR(C35="",D35=""),"",ABS((C35-D35)/C35))</f>
        <v/>
      </c>
    </row>
    <row r="46" ht="15" customHeight="1" s="53">
      <c r="B46" s="60" t="inlineStr">
        <is>
          <t>Extrapolated relative error, e_ext21 = |(φ_ext21-φ1)/φ_ext21|</t>
        </is>
      </c>
      <c r="C46" s="96">
        <f>IF(C44="","",ABS((C44-C35)/C44))</f>
        <v/>
      </c>
    </row>
    <row r="47" ht="15" customHeight="1" s="53">
      <c r="B47" s="56" t="inlineStr">
        <is>
          <t>GCI_fine (%) = 1.25 · e_a21 / (r21^p - 1) × 100</t>
        </is>
      </c>
      <c r="C47" s="99">
        <f>IF(OR(C43="",C45=""),"",1.25*C45/(C37^C43-1))</f>
        <v/>
      </c>
    </row>
    <row r="48" ht="30" customHeight="1" s="53">
      <c r="B48" s="65" t="inlineStr">
        <is>
          <t>Check Convergence classification above FIRST. If it says FAIL, the apparent order p and GCI% here are mathematical artifacts (a negative or unphysical p), not a real result -- do not use them to claim mesh independence. If it says PASS, mesh-independent when GCI_fine &lt; ~1% (CLAUDE.md threshold) to ~2% (roadmap threshold); if it fails, your Fine mesh becomes the new Coarse and you add a finer 4th level.</t>
        </is>
      </c>
    </row>
    <row r="50" ht="15" customHeight="1" s="53">
      <c r="B50" s="92" t="inlineStr">
        <is>
          <t>Friction Factor (f) Mesh Independence</t>
        </is>
      </c>
    </row>
    <row r="51" ht="30" customHeight="1" s="53">
      <c r="B51" s="59" t="inlineStr">
        <is>
          <t>Parameter</t>
        </is>
      </c>
      <c r="C51" s="59" t="inlineStr">
        <is>
          <t>Fine (1)</t>
        </is>
      </c>
      <c r="D51" s="59" t="inlineStr">
        <is>
          <t>Medium (2)</t>
        </is>
      </c>
      <c r="E51" s="59" t="inlineStr">
        <is>
          <t>Coarse (3)</t>
        </is>
      </c>
    </row>
    <row r="52" ht="15" customHeight="1" s="53">
      <c r="B52" s="60" t="inlineStr">
        <is>
          <t>Representative cell size, h (mm)</t>
        </is>
      </c>
      <c r="C52" s="95">
        <f>'Mesh Levels'!$E$29</f>
        <v/>
      </c>
      <c r="D52" s="95">
        <f>'Mesh Levels'!$D$29</f>
        <v/>
      </c>
      <c r="E52" s="95">
        <f>'Mesh Levels'!$C$29</f>
        <v/>
      </c>
    </row>
    <row r="53" ht="15" customHeight="1" s="53">
      <c r="B53" s="60" t="inlineStr">
        <is>
          <t>f result  --  auto-computed from Raw Fluent Extraction above</t>
        </is>
      </c>
      <c r="C53" s="94">
        <f>IF(C20="","",C20)</f>
        <v/>
      </c>
      <c r="D53" s="94">
        <f>IF(D20="","",D20)</f>
        <v/>
      </c>
      <c r="E53" s="94">
        <f>IF(E20="","",E20)</f>
        <v/>
      </c>
    </row>
    <row r="55" ht="15" customHeight="1" s="53">
      <c r="B55" s="60" t="inlineStr">
        <is>
          <t>r21 = h2/h1  (medium/fine)</t>
        </is>
      </c>
      <c r="C55" s="78">
        <f>D52/C52</f>
        <v/>
      </c>
    </row>
    <row r="56" ht="15" customHeight="1" s="53">
      <c r="B56" s="60" t="inlineStr">
        <is>
          <t>r32 = h3/h2  (coarse/medium)</t>
        </is>
      </c>
      <c r="C56" s="78">
        <f>E52/D52</f>
        <v/>
      </c>
    </row>
    <row r="57" ht="15" customHeight="1" s="53">
      <c r="B57" s="60" t="inlineStr">
        <is>
          <t>ε21 = φ2 - φ1</t>
        </is>
      </c>
      <c r="C57" s="70">
        <f>IF(OR(C53="",D53=""),"",D53-C53)</f>
        <v/>
      </c>
    </row>
    <row r="58" ht="15" customHeight="1" s="53">
      <c r="B58" s="60" t="inlineStr">
        <is>
          <t>ε32 = φ3 - φ2</t>
        </is>
      </c>
      <c r="C58" s="70">
        <f>IF(OR(D53="",E53=""),"",E53-D53)</f>
        <v/>
      </c>
    </row>
    <row r="59" ht="15" customHeight="1" s="53">
      <c r="B59" s="56" t="inlineStr">
        <is>
          <t>Convergence ratio, R = ε21 / ε32</t>
        </is>
      </c>
      <c r="C59" s="97">
        <f>IF(OR(C57="",C58=""),"",C57/C58)</f>
        <v/>
      </c>
    </row>
    <row r="60" ht="27.75" customHeight="1" s="53">
      <c r="B60" s="56" t="inlineStr">
        <is>
          <t>Convergence classification</t>
        </is>
      </c>
      <c r="C60" s="98">
        <f>IF(C59="","",IF(C59&lt;0,"FAIL -- OSCILLATORY (GCI/order below not usable)",IF(ABS(C59)&gt;1,"FAIL -- MONOTONIC DIVERGENCE (GCI/order below not usable)","PASS -- monotonic convergence, GCI below is usable")))</f>
        <v/>
      </c>
    </row>
    <row r="61" ht="27.75" customHeight="1" s="53">
      <c r="B61" s="57" t="inlineStr">
        <is>
          <t>Apparent order, p  =  ln|ε32/ε21| / ln(r)
(exact when r21≈r32, valid here by construction)</t>
        </is>
      </c>
      <c r="C61" s="78">
        <f>IF(OR(C57="",C58=""),"",LN(ABS(C58/C57))/LN(C55))</f>
        <v/>
      </c>
    </row>
    <row r="62" ht="27.75" customHeight="1" s="53">
      <c r="B62" s="57" t="inlineStr">
        <is>
          <t>Richardson-extrapolated value, φ_ext21 = (r21^p·φ1 - φ2) / (r21^p - 1)</t>
        </is>
      </c>
      <c r="C62" s="70">
        <f>IF(C61="","",(C55^C61*C53-D53)/(C55^C61-1))</f>
        <v/>
      </c>
    </row>
    <row r="63" ht="15" customHeight="1" s="53">
      <c r="B63" s="60" t="inlineStr">
        <is>
          <t>Approximate relative error, e_a21 = |(φ1-φ2)/φ1|</t>
        </is>
      </c>
      <c r="C63" s="96">
        <f>IF(OR(C53="",D53=""),"",ABS((C53-D53)/C53))</f>
        <v/>
      </c>
    </row>
    <row r="64" ht="15" customHeight="1" s="53">
      <c r="B64" s="60" t="inlineStr">
        <is>
          <t>Extrapolated relative error, e_ext21 = |(φ_ext21-φ1)/φ_ext21|</t>
        </is>
      </c>
      <c r="C64" s="96">
        <f>IF(C62="","",ABS((C62-C53)/C62))</f>
        <v/>
      </c>
    </row>
    <row r="65" ht="15" customHeight="1" s="53">
      <c r="B65" s="56" t="inlineStr">
        <is>
          <t>GCI_fine (%) = 1.25 · e_a21 / (r21^p - 1) × 100</t>
        </is>
      </c>
      <c r="C65" s="99">
        <f>IF(OR(C61="",C63=""),"",1.25*C63/(C55^C61-1))</f>
        <v/>
      </c>
    </row>
    <row r="66" ht="30" customHeight="1" s="53">
      <c r="B66" s="65" t="inlineStr">
        <is>
          <t>Check Convergence classification above FIRST. If it says FAIL, the apparent order p and GCI% here are mathematical artifacts (a negative or unphysical p), not a real result -- do not use them to claim mesh independence. If it says PASS, mesh-independent when GCI_fine &lt; ~1% (CLAUDE.md threshold) to ~2% (roadmap threshold); if it fails, your Fine mesh becomes the new Coarse and you add a finer 4th level.</t>
        </is>
      </c>
    </row>
  </sheetData>
  <mergeCells count="9">
    <mergeCell ref="B23:E23"/>
    <mergeCell ref="B50:E50"/>
    <mergeCell ref="B21:E21"/>
    <mergeCell ref="B48:E48"/>
    <mergeCell ref="B30:E30"/>
    <mergeCell ref="B7:E7"/>
    <mergeCell ref="B3:E3"/>
    <mergeCell ref="B66:E66"/>
    <mergeCell ref="B32:E32"/>
  </mergeCells>
  <conditionalFormatting sqref="C42">
    <cfRule type="expression" rank="0" priority="2" equalAverage="0" aboveAverage="0" dxfId="1" text="" percent="0" bottom="0">
      <formula>ISNUMBER(SEARCH("FAIL",C42))</formula>
    </cfRule>
    <cfRule type="expression" rank="0" priority="3" equalAverage="0" aboveAverage="0" dxfId="0" text="" percent="0" bottom="0">
      <formula>ISNUMBER(SEARCH("PASS",C42))</formula>
    </cfRule>
  </conditionalFormatting>
  <conditionalFormatting sqref="C47">
    <cfRule type="cellIs" rank="0" priority="4" equalAverage="0" operator="lessThanOrEqual" aboveAverage="0" dxfId="0" text="" percent="0" bottom="0">
      <formula>0.01</formula>
    </cfRule>
    <cfRule type="cellIs" rank="0" priority="5" equalAverage="0" operator="greaterThan" aboveAverage="0" dxfId="1" text="" percent="0" bottom="0">
      <formula>0.01</formula>
    </cfRule>
  </conditionalFormatting>
  <conditionalFormatting sqref="C60">
    <cfRule type="expression" rank="0" priority="6" equalAverage="0" aboveAverage="0" dxfId="1" text="" percent="0" bottom="0">
      <formula>ISNUMBER(SEARCH("FAIL",C60))</formula>
    </cfRule>
    <cfRule type="expression" rank="0" priority="7" equalAverage="0" aboveAverage="0" dxfId="0" text="" percent="0" bottom="0">
      <formula>ISNUMBER(SEARCH("PASS",C60))</formula>
    </cfRule>
  </conditionalFormatting>
  <conditionalFormatting sqref="C65">
    <cfRule type="cellIs" rank="0" priority="8" equalAverage="0" operator="lessThanOrEqual" aboveAverage="0" dxfId="0" text="" percent="0" bottom="0">
      <formula>0.01</formula>
    </cfRule>
    <cfRule type="cellIs" rank="0" priority="9" equalAverage="0" operator="greaterThan" aboveAverage="0" dxfId="1" text="" percent="0" bottom="0">
      <formula>0.01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B2:K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6" customWidth="1" style="52" min="2" max="2"/>
    <col width="10" customWidth="1" style="52" min="3" max="3"/>
    <col width="8" customWidth="1" style="52" min="4" max="5"/>
    <col width="10" customWidth="1" style="52" min="6" max="8"/>
    <col width="12" customWidth="1" style="52" min="9" max="10"/>
    <col width="10" customWidth="1" style="52" min="11" max="11"/>
    <col width="3" customWidth="1" style="52" min="12" max="12"/>
  </cols>
  <sheetData>
    <row r="2" ht="17.35" customHeight="1" s="53">
      <c r="B2" s="54" t="inlineStr">
        <is>
          <t>Dudley et al. (SAND94-1884) — LS-2 Table D-1 Validation</t>
        </is>
      </c>
    </row>
    <row r="3" ht="30" customHeight="1" s="53">
      <c r="B3" s="65" t="inlineStr">
        <is>
          <t>Receiver-scale (not smooth-tube hydrodynamic) validation. Reproduces the 9 measured cermet/vacuum test cases from reference-data/dudley_table_d1.md. Aperture area A_a = 39.2 m² -- NOT tube surface area (flagged as a common mistake in your own notes).</t>
        </is>
      </c>
    </row>
    <row r="5" ht="15" customHeight="1" s="53">
      <c r="B5" s="60" t="inlineStr">
        <is>
          <t>Aperture area, A_a (m²)</t>
        </is>
      </c>
      <c r="C5" s="64" t="n">
        <v>39.2</v>
      </c>
    </row>
    <row r="7" ht="30" customHeight="1" s="53">
      <c r="B7" s="59" t="inlineStr">
        <is>
          <t>Case</t>
        </is>
      </c>
      <c r="C7" s="59" t="inlineStr">
        <is>
          <t>DNI
(W/m²)</t>
        </is>
      </c>
      <c r="D7" s="59" t="inlineStr">
        <is>
          <t>Wind
(m/s)</t>
        </is>
      </c>
      <c r="E7" s="59" t="inlineStr">
        <is>
          <t>Tin
(°C)</t>
        </is>
      </c>
      <c r="F7" s="59" t="inlineStr">
        <is>
          <t>Flow
(L/min)</t>
        </is>
      </c>
      <c r="G7" s="59" t="inlineStr">
        <is>
          <t>Tout meas.
(°C)</t>
        </is>
      </c>
      <c r="H7" s="59" t="inlineStr">
        <is>
          <t>η_th meas.
(%)</t>
        </is>
      </c>
      <c r="I7" s="59" t="inlineStr">
        <is>
          <t>Tout CFD
(fill in)</t>
        </is>
      </c>
      <c r="J7" s="59" t="inlineStr">
        <is>
          <t>η_th CFD
(fill in)</t>
        </is>
      </c>
      <c r="K7" s="59" t="inlineStr">
        <is>
          <t>dev. %</t>
        </is>
      </c>
    </row>
    <row r="8" ht="15" customHeight="1" s="53">
      <c r="B8" s="93" t="n">
        <v>1</v>
      </c>
      <c r="C8" s="100" t="n">
        <v>933.7</v>
      </c>
      <c r="D8" s="100" t="n">
        <v>2.6</v>
      </c>
      <c r="E8" s="100" t="n">
        <v>102.2</v>
      </c>
      <c r="F8" s="100" t="n">
        <v>47.7</v>
      </c>
      <c r="G8" s="100" t="n">
        <v>124</v>
      </c>
      <c r="H8" s="80" t="n">
        <v>72.51000000000001</v>
      </c>
      <c r="I8" s="101" t="n"/>
      <c r="J8" s="101" t="n"/>
      <c r="K8" s="91">
        <f>IF(J8="","",ABS(J8-H8)/H8)</f>
        <v/>
      </c>
    </row>
    <row r="9" ht="15" customHeight="1" s="53">
      <c r="B9" s="93" t="n">
        <v>2</v>
      </c>
      <c r="C9" s="100" t="n">
        <v>968.2</v>
      </c>
      <c r="D9" s="100" t="n">
        <v>3.7</v>
      </c>
      <c r="E9" s="100" t="n">
        <v>151</v>
      </c>
      <c r="F9" s="100" t="n">
        <v>47.8</v>
      </c>
      <c r="G9" s="100" t="n">
        <v>173.3</v>
      </c>
      <c r="H9" s="80" t="n">
        <v>70.90000000000001</v>
      </c>
      <c r="I9" s="101" t="n"/>
      <c r="J9" s="101" t="n"/>
      <c r="K9" s="91">
        <f>IF(J9="","",ABS(J9-H9)/H9)</f>
        <v/>
      </c>
    </row>
    <row r="10" ht="15" customHeight="1" s="53">
      <c r="B10" s="93" t="n">
        <v>3</v>
      </c>
      <c r="C10" s="100" t="n">
        <v>982.3</v>
      </c>
      <c r="D10" s="100" t="n">
        <v>2.5</v>
      </c>
      <c r="E10" s="100" t="n">
        <v>197.5</v>
      </c>
      <c r="F10" s="100" t="n">
        <v>49.1</v>
      </c>
      <c r="G10" s="100" t="n">
        <v>219.5</v>
      </c>
      <c r="H10" s="80" t="n">
        <v>70.17</v>
      </c>
      <c r="I10" s="101" t="n"/>
      <c r="J10" s="101" t="n"/>
      <c r="K10" s="91">
        <f>IF(J10="","",ABS(J10-H10)/H10)</f>
        <v/>
      </c>
    </row>
    <row r="11" ht="15" customHeight="1" s="53">
      <c r="B11" s="93" t="n">
        <v>4</v>
      </c>
      <c r="C11" s="100" t="n">
        <v>906.6</v>
      </c>
      <c r="D11" s="100" t="n">
        <v>3.3</v>
      </c>
      <c r="E11" s="100" t="n">
        <v>250.7</v>
      </c>
      <c r="F11" s="100" t="n">
        <v>54.7</v>
      </c>
      <c r="G11" s="100" t="n">
        <v>269.4</v>
      </c>
      <c r="H11" s="80" t="n">
        <v>70.25</v>
      </c>
      <c r="I11" s="101" t="n"/>
      <c r="J11" s="101" t="n"/>
      <c r="K11" s="91">
        <f>IF(J11="","",ABS(J11-H11)/H11)</f>
        <v/>
      </c>
    </row>
    <row r="12" ht="15" customHeight="1" s="53">
      <c r="B12" s="93" t="n">
        <v>5</v>
      </c>
      <c r="C12" s="100" t="n">
        <v>937.9</v>
      </c>
      <c r="D12" s="100" t="n">
        <v>1</v>
      </c>
      <c r="E12" s="100" t="n">
        <v>297.8</v>
      </c>
      <c r="F12" s="100" t="n">
        <v>55.5</v>
      </c>
      <c r="G12" s="100" t="n">
        <v>316.9</v>
      </c>
      <c r="H12" s="80" t="n">
        <v>67.98</v>
      </c>
      <c r="I12" s="101" t="n"/>
      <c r="J12" s="101" t="n"/>
      <c r="K12" s="91">
        <f>IF(J12="","",ABS(J12-H12)/H12)</f>
        <v/>
      </c>
    </row>
    <row r="13" ht="15" customHeight="1" s="53">
      <c r="B13" s="93" t="n">
        <v>6</v>
      </c>
      <c r="C13" s="100" t="n">
        <v>880.6</v>
      </c>
      <c r="D13" s="100" t="n">
        <v>2.9</v>
      </c>
      <c r="E13" s="100" t="n">
        <v>299</v>
      </c>
      <c r="F13" s="100" t="n">
        <v>55.6</v>
      </c>
      <c r="G13" s="100" t="n">
        <v>317.2</v>
      </c>
      <c r="H13" s="80" t="n">
        <v>68.92</v>
      </c>
      <c r="I13" s="101" t="n"/>
      <c r="J13" s="101" t="n"/>
      <c r="K13" s="91">
        <f>IF(J13="","",ABS(J13-H13)/H13)</f>
        <v/>
      </c>
    </row>
    <row r="14" ht="15" customHeight="1" s="53">
      <c r="B14" s="93" t="n">
        <v>7</v>
      </c>
      <c r="C14" s="100" t="n">
        <v>920.9</v>
      </c>
      <c r="D14" s="100" t="n">
        <v>2.6</v>
      </c>
      <c r="E14" s="100" t="n">
        <v>379.5</v>
      </c>
      <c r="F14" s="100" t="n">
        <v>56.8</v>
      </c>
      <c r="G14" s="100" t="n">
        <v>398</v>
      </c>
      <c r="H14" s="80" t="n">
        <v>62.34</v>
      </c>
      <c r="I14" s="101" t="n"/>
      <c r="J14" s="101" t="n"/>
      <c r="K14" s="91">
        <f>IF(J14="","",ABS(J14-H14)/H14)</f>
        <v/>
      </c>
    </row>
    <row r="15" ht="15" customHeight="1" s="53">
      <c r="B15" s="93" t="n">
        <v>8</v>
      </c>
      <c r="C15" s="100" t="n">
        <v>903.2</v>
      </c>
      <c r="D15" s="100" t="n">
        <v>4.2</v>
      </c>
      <c r="E15" s="100" t="n">
        <v>355.9</v>
      </c>
      <c r="F15" s="100" t="n">
        <v>56.3</v>
      </c>
      <c r="G15" s="100" t="n">
        <v>374</v>
      </c>
      <c r="H15" s="80" t="n">
        <v>63.82</v>
      </c>
      <c r="I15" s="101" t="n"/>
      <c r="J15" s="101" t="n"/>
      <c r="K15" s="91">
        <f>IF(J15="","",ABS(J15-H15)/H15)</f>
        <v/>
      </c>
    </row>
    <row r="16" ht="15" customHeight="1" s="53">
      <c r="B16" s="93" t="n">
        <v>9</v>
      </c>
      <c r="C16" s="100" t="n">
        <v>920.9</v>
      </c>
      <c r="D16" s="100" t="n">
        <v>2.6</v>
      </c>
      <c r="E16" s="100" t="n">
        <v>379.5</v>
      </c>
      <c r="F16" s="100" t="n">
        <v>56.8</v>
      </c>
      <c r="G16" s="100" t="n">
        <v>398</v>
      </c>
      <c r="H16" s="80" t="n">
        <v>62.34</v>
      </c>
      <c r="I16" s="101" t="n"/>
      <c r="J16" s="101" t="n"/>
      <c r="K16" s="91">
        <f>IF(J16="","",ABS(J16-H16)/H16)</f>
        <v/>
      </c>
    </row>
    <row r="18" ht="45" customHeight="1" s="53">
      <c r="B18" s="65" t="inlineStr">
        <is>
          <t>η_th = (Q_u - P_p/η_el) / (A_a x I_b), Q_u = m_dot x cp x (Tout-Tin), P_p = pumping power, η_el = 0.3, I_b = DNI. Cases 7 and 9 are identical in the original report (per your notes). Note 7 and 9 are duplicated on purpose -- do not delete either, that mirrors the source report.</t>
        </is>
      </c>
    </row>
  </sheetData>
  <mergeCells count="2">
    <mergeCell ref="B18:K18"/>
    <mergeCell ref="B3:K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B2:R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52" min="1" max="1"/>
    <col width="6" customWidth="1" style="52" min="2" max="2"/>
    <col width="9" customWidth="1" style="52" min="3" max="5"/>
    <col width="13" customWidth="1" style="52" min="6" max="6"/>
    <col width="7" customWidth="1" style="52" min="7" max="7"/>
    <col width="8" customWidth="1" style="52" min="8" max="11"/>
    <col width="9" customWidth="1" style="52" min="12" max="14"/>
    <col width="10" customWidth="1" style="52" min="15" max="16"/>
    <col width="12" customWidth="1" style="52" min="17" max="17"/>
    <col width="11" customWidth="1" style="52" min="18" max="18"/>
    <col width="3" customWidth="1" style="52" min="19" max="19"/>
  </cols>
  <sheetData>
    <row r="2" ht="17.35" customHeight="1" s="53">
      <c r="B2" s="54" t="inlineStr">
        <is>
          <t>L27 Taguchi Production Run Log</t>
        </is>
      </c>
    </row>
    <row r="3" ht="39.75" customHeight="1" s="53">
      <c r="B3" s="65" t="inlineStr">
        <is>
          <t>Factor columns pre-filled from taguchi/L27_run_matrix.md. Result columns match the tracking sheet your own Learning_Roadmap docx recommends (Phase 5). PEC needs a plain-tube Nu/f reference AT THE SAME Re as these runs -- fill that in below before PEC will compute; your roadmap explicitly warns that comparing enhanced vs. plain tube at different Re invalidates the result.</t>
        </is>
      </c>
    </row>
    <row r="5" ht="23.85" customHeight="1" s="53">
      <c r="B5" s="57" t="inlineStr">
        <is>
          <t>Plain-tube reference Nu_plain (same Re as production runs, fill in after validation)</t>
        </is>
      </c>
      <c r="G5" s="101" t="n"/>
    </row>
    <row r="6" ht="23.85" customHeight="1" s="53">
      <c r="B6" s="57" t="inlineStr">
        <is>
          <t>Plain-tube reference f_plain (same Re as production runs, fill in after validation)</t>
        </is>
      </c>
      <c r="G6" s="101" t="n"/>
    </row>
    <row r="8" ht="30" customHeight="1" s="53">
      <c r="B8" s="59" t="inlineStr">
        <is>
          <t>Run</t>
        </is>
      </c>
      <c r="C8" s="59" t="inlineStr">
        <is>
          <t>A
Pt/dti</t>
        </is>
      </c>
      <c r="D8" s="59" t="inlineStr">
        <is>
          <t>B
dpo/dti</t>
        </is>
      </c>
      <c r="E8" s="59" t="inlineStr">
        <is>
          <t>C
tp/dpo</t>
        </is>
      </c>
      <c r="F8" s="59" t="inlineStr">
        <is>
          <t>D
Nanofluid</t>
        </is>
      </c>
      <c r="G8" s="59" t="inlineStr">
        <is>
          <t>E
φ %</t>
        </is>
      </c>
      <c r="H8" s="59" t="inlineStr">
        <is>
          <t>Pt
(mm)</t>
        </is>
      </c>
      <c r="I8" s="59" t="inlineStr">
        <is>
          <t>dpo
(mm)</t>
        </is>
      </c>
      <c r="J8" s="59" t="inlineStr">
        <is>
          <t>tp
(mm)</t>
        </is>
      </c>
      <c r="K8" s="59" t="inlineStr">
        <is>
          <t>dpi
(mm)</t>
        </is>
      </c>
      <c r="L8" s="59" t="inlineStr">
        <is>
          <t>Nu
(fill in)</t>
        </is>
      </c>
      <c r="M8" s="59" t="inlineStr">
        <is>
          <t>f
(fill in)</t>
        </is>
      </c>
      <c r="N8" s="59" t="inlineStr">
        <is>
          <t>PEC</t>
        </is>
      </c>
      <c r="O8" s="59" t="inlineStr">
        <is>
          <t>ΔP (Pa)
(fill in)</t>
        </is>
      </c>
      <c r="P8" s="59" t="inlineStr">
        <is>
          <t>Tout (K)
(fill in)</t>
        </is>
      </c>
      <c r="Q8" s="59" t="inlineStr">
        <is>
          <t>Twall,max (K)
(fill in)</t>
        </is>
      </c>
      <c r="R8" s="59" t="inlineStr">
        <is>
          <t>Iterations
(fill in)</t>
        </is>
      </c>
    </row>
    <row r="9" ht="15" customHeight="1" s="53">
      <c r="B9" s="93" t="n">
        <v>1</v>
      </c>
      <c r="C9" s="80" t="n">
        <v>3.03</v>
      </c>
      <c r="D9" s="80" t="n">
        <v>0.23</v>
      </c>
      <c r="E9" s="80" t="n">
        <v>0.04</v>
      </c>
      <c r="F9" s="64" t="inlineStr">
        <is>
          <t>Fe2O3-GO</t>
        </is>
      </c>
      <c r="G9" s="100" t="n">
        <v>0.5</v>
      </c>
      <c r="H9" s="93" t="n">
        <v>200</v>
      </c>
      <c r="I9" s="93" t="n">
        <v>15</v>
      </c>
      <c r="J9" s="100" t="n">
        <v>0.6</v>
      </c>
      <c r="K9" s="100" t="n">
        <v>13.8</v>
      </c>
      <c r="L9" s="101" t="n"/>
      <c r="M9" s="101" t="n"/>
      <c r="N9" s="78">
        <f>IF(OR(L9="",M9="",$G$5="",$G$6=""),"",(L9/$G$5)/(M9/$G$6)^(1/3))</f>
        <v/>
      </c>
      <c r="O9" s="101" t="n"/>
      <c r="P9" s="101" t="n"/>
      <c r="Q9" s="101" t="n"/>
      <c r="R9" s="101" t="n"/>
    </row>
    <row r="10" ht="15" customHeight="1" s="53">
      <c r="B10" s="93" t="n">
        <v>2</v>
      </c>
      <c r="C10" s="80" t="n">
        <v>3.03</v>
      </c>
      <c r="D10" s="80" t="n">
        <v>0.23</v>
      </c>
      <c r="E10" s="80" t="n">
        <v>0.08</v>
      </c>
      <c r="F10" s="64" t="inlineStr">
        <is>
          <t>Al2O3-MWCNT</t>
        </is>
      </c>
      <c r="G10" s="100" t="n">
        <v>1</v>
      </c>
      <c r="H10" s="93" t="n">
        <v>200</v>
      </c>
      <c r="I10" s="93" t="n">
        <v>15</v>
      </c>
      <c r="J10" s="100" t="n">
        <v>1.2</v>
      </c>
      <c r="K10" s="100" t="n">
        <v>12.6</v>
      </c>
      <c r="L10" s="101" t="n"/>
      <c r="M10" s="101" t="n"/>
      <c r="N10" s="78">
        <f>IF(OR(L10="",M10="",$G$5="",$G$6=""),"",(L10/$G$5)/(M10/$G$6)^(1/3))</f>
        <v/>
      </c>
      <c r="O10" s="101" t="n"/>
      <c r="P10" s="101" t="n"/>
      <c r="Q10" s="101" t="n"/>
      <c r="R10" s="101" t="n"/>
    </row>
    <row r="11" ht="15" customHeight="1" s="53">
      <c r="B11" s="93" t="n">
        <v>3</v>
      </c>
      <c r="C11" s="80" t="n">
        <v>3.03</v>
      </c>
      <c r="D11" s="80" t="n">
        <v>0.23</v>
      </c>
      <c r="E11" s="80" t="n">
        <v>0.12</v>
      </c>
      <c r="F11" s="64" t="inlineStr">
        <is>
          <t>Ag-MgO</t>
        </is>
      </c>
      <c r="G11" s="100" t="n">
        <v>2</v>
      </c>
      <c r="H11" s="93" t="n">
        <v>200</v>
      </c>
      <c r="I11" s="93" t="n">
        <v>15</v>
      </c>
      <c r="J11" s="100" t="n">
        <v>1.8</v>
      </c>
      <c r="K11" s="100" t="n">
        <v>11.4</v>
      </c>
      <c r="L11" s="101" t="n"/>
      <c r="M11" s="101" t="n"/>
      <c r="N11" s="78">
        <f>IF(OR(L11="",M11="",$G$5="",$G$6=""),"",(L11/$G$5)/(M11/$G$6)^(1/3))</f>
        <v/>
      </c>
      <c r="O11" s="101" t="n"/>
      <c r="P11" s="101" t="n"/>
      <c r="Q11" s="101" t="n"/>
      <c r="R11" s="101" t="n"/>
    </row>
    <row r="12" ht="15" customHeight="1" s="53">
      <c r="B12" s="93" t="n">
        <v>4</v>
      </c>
      <c r="C12" s="80" t="n">
        <v>3.03</v>
      </c>
      <c r="D12" s="80" t="n">
        <v>0.38</v>
      </c>
      <c r="E12" s="80" t="n">
        <v>0.04</v>
      </c>
      <c r="F12" s="64" t="inlineStr">
        <is>
          <t>Al2O3-MWCNT</t>
        </is>
      </c>
      <c r="G12" s="100" t="n">
        <v>2</v>
      </c>
      <c r="H12" s="93" t="n">
        <v>200</v>
      </c>
      <c r="I12" s="93" t="n">
        <v>25</v>
      </c>
      <c r="J12" s="100" t="n">
        <v>1</v>
      </c>
      <c r="K12" s="100" t="n">
        <v>23</v>
      </c>
      <c r="L12" s="101" t="n"/>
      <c r="M12" s="101" t="n"/>
      <c r="N12" s="78">
        <f>IF(OR(L12="",M12="",$G$5="",$G$6=""),"",(L12/$G$5)/(M12/$G$6)^(1/3))</f>
        <v/>
      </c>
      <c r="O12" s="101" t="n"/>
      <c r="P12" s="101" t="n"/>
      <c r="Q12" s="101" t="n"/>
      <c r="R12" s="101" t="n"/>
    </row>
    <row r="13" ht="15" customHeight="1" s="53">
      <c r="B13" s="93" t="n">
        <v>5</v>
      </c>
      <c r="C13" s="80" t="n">
        <v>3.03</v>
      </c>
      <c r="D13" s="80" t="n">
        <v>0.38</v>
      </c>
      <c r="E13" s="80" t="n">
        <v>0.08</v>
      </c>
      <c r="F13" s="64" t="inlineStr">
        <is>
          <t>Ag-MgO</t>
        </is>
      </c>
      <c r="G13" s="100" t="n">
        <v>0.5</v>
      </c>
      <c r="H13" s="93" t="n">
        <v>200</v>
      </c>
      <c r="I13" s="93" t="n">
        <v>25</v>
      </c>
      <c r="J13" s="100" t="n">
        <v>2</v>
      </c>
      <c r="K13" s="100" t="n">
        <v>21</v>
      </c>
      <c r="L13" s="101" t="n"/>
      <c r="M13" s="101" t="n"/>
      <c r="N13" s="78">
        <f>IF(OR(L13="",M13="",$G$5="",$G$6=""),"",(L13/$G$5)/(M13/$G$6)^(1/3))</f>
        <v/>
      </c>
      <c r="O13" s="101" t="n"/>
      <c r="P13" s="101" t="n"/>
      <c r="Q13" s="101" t="n"/>
      <c r="R13" s="101" t="n"/>
    </row>
    <row r="14" ht="15" customHeight="1" s="53">
      <c r="B14" s="93" t="n">
        <v>6</v>
      </c>
      <c r="C14" s="80" t="n">
        <v>3.03</v>
      </c>
      <c r="D14" s="80" t="n">
        <v>0.38</v>
      </c>
      <c r="E14" s="80" t="n">
        <v>0.12</v>
      </c>
      <c r="F14" s="64" t="inlineStr">
        <is>
          <t>Fe2O3-GO</t>
        </is>
      </c>
      <c r="G14" s="100" t="n">
        <v>1</v>
      </c>
      <c r="H14" s="93" t="n">
        <v>200</v>
      </c>
      <c r="I14" s="93" t="n">
        <v>25</v>
      </c>
      <c r="J14" s="100" t="n">
        <v>3</v>
      </c>
      <c r="K14" s="100" t="n">
        <v>19</v>
      </c>
      <c r="L14" s="101" t="n"/>
      <c r="M14" s="101" t="n"/>
      <c r="N14" s="78">
        <f>IF(OR(L14="",M14="",$G$5="",$G$6=""),"",(L14/$G$5)/(M14/$G$6)^(1/3))</f>
        <v/>
      </c>
      <c r="O14" s="101" t="n"/>
      <c r="P14" s="101" t="n"/>
      <c r="Q14" s="101" t="n"/>
      <c r="R14" s="101" t="n"/>
    </row>
    <row r="15" ht="15" customHeight="1" s="53">
      <c r="B15" s="93" t="n">
        <v>7</v>
      </c>
      <c r="C15" s="80" t="n">
        <v>3.03</v>
      </c>
      <c r="D15" s="80" t="n">
        <v>0.53</v>
      </c>
      <c r="E15" s="80" t="n">
        <v>0.04</v>
      </c>
      <c r="F15" s="64" t="inlineStr">
        <is>
          <t>Ag-MgO</t>
        </is>
      </c>
      <c r="G15" s="100" t="n">
        <v>1</v>
      </c>
      <c r="H15" s="93" t="n">
        <v>200</v>
      </c>
      <c r="I15" s="93" t="n">
        <v>35</v>
      </c>
      <c r="J15" s="100" t="n">
        <v>1.4</v>
      </c>
      <c r="K15" s="100" t="n">
        <v>32.2</v>
      </c>
      <c r="L15" s="101" t="n"/>
      <c r="M15" s="101" t="n"/>
      <c r="N15" s="78">
        <f>IF(OR(L15="",M15="",$G$5="",$G$6=""),"",(L15/$G$5)/(M15/$G$6)^(1/3))</f>
        <v/>
      </c>
      <c r="O15" s="101" t="n"/>
      <c r="P15" s="101" t="n"/>
      <c r="Q15" s="101" t="n"/>
      <c r="R15" s="101" t="n"/>
    </row>
    <row r="16" ht="15" customHeight="1" s="53">
      <c r="B16" s="93" t="n">
        <v>8</v>
      </c>
      <c r="C16" s="80" t="n">
        <v>3.03</v>
      </c>
      <c r="D16" s="80" t="n">
        <v>0.53</v>
      </c>
      <c r="E16" s="80" t="n">
        <v>0.08</v>
      </c>
      <c r="F16" s="64" t="inlineStr">
        <is>
          <t>Fe2O3-GO</t>
        </is>
      </c>
      <c r="G16" s="100" t="n">
        <v>2</v>
      </c>
      <c r="H16" s="93" t="n">
        <v>200</v>
      </c>
      <c r="I16" s="93" t="n">
        <v>35</v>
      </c>
      <c r="J16" s="100" t="n">
        <v>2.8</v>
      </c>
      <c r="K16" s="100" t="n">
        <v>29.4</v>
      </c>
      <c r="L16" s="101" t="n"/>
      <c r="M16" s="101" t="n"/>
      <c r="N16" s="78">
        <f>IF(OR(L16="",M16="",$G$5="",$G$6=""),"",(L16/$G$5)/(M16/$G$6)^(1/3))</f>
        <v/>
      </c>
      <c r="O16" s="101" t="n"/>
      <c r="P16" s="101" t="n"/>
      <c r="Q16" s="101" t="n"/>
      <c r="R16" s="101" t="n"/>
    </row>
    <row r="17" ht="15" customHeight="1" s="53">
      <c r="B17" s="93" t="n">
        <v>9</v>
      </c>
      <c r="C17" s="80" t="n">
        <v>3.03</v>
      </c>
      <c r="D17" s="80" t="n">
        <v>0.53</v>
      </c>
      <c r="E17" s="80" t="n">
        <v>0.12</v>
      </c>
      <c r="F17" s="64" t="inlineStr">
        <is>
          <t>Al2O3-MWCNT</t>
        </is>
      </c>
      <c r="G17" s="100" t="n">
        <v>0.5</v>
      </c>
      <c r="H17" s="93" t="n">
        <v>200</v>
      </c>
      <c r="I17" s="93" t="n">
        <v>35</v>
      </c>
      <c r="J17" s="100" t="n">
        <v>4.2</v>
      </c>
      <c r="K17" s="100" t="n">
        <v>26.6</v>
      </c>
      <c r="L17" s="101" t="n"/>
      <c r="M17" s="101" t="n"/>
      <c r="N17" s="78">
        <f>IF(OR(L17="",M17="",$G$5="",$G$6=""),"",(L17/$G$5)/(M17/$G$6)^(1/3))</f>
        <v/>
      </c>
      <c r="O17" s="101" t="n"/>
      <c r="P17" s="101" t="n"/>
      <c r="Q17" s="101" t="n"/>
      <c r="R17" s="101" t="n"/>
    </row>
    <row r="18" ht="15" customHeight="1" s="53">
      <c r="B18" s="93" t="n">
        <v>10</v>
      </c>
      <c r="C18" s="80" t="n">
        <v>4.55</v>
      </c>
      <c r="D18" s="80" t="n">
        <v>0.23</v>
      </c>
      <c r="E18" s="80" t="n">
        <v>0.04</v>
      </c>
      <c r="F18" s="64" t="inlineStr">
        <is>
          <t>Al2O3-MWCNT</t>
        </is>
      </c>
      <c r="G18" s="100" t="n">
        <v>1</v>
      </c>
      <c r="H18" s="93" t="n">
        <v>300</v>
      </c>
      <c r="I18" s="93" t="n">
        <v>15</v>
      </c>
      <c r="J18" s="100" t="n">
        <v>0.6</v>
      </c>
      <c r="K18" s="100" t="n">
        <v>13.8</v>
      </c>
      <c r="L18" s="101" t="n"/>
      <c r="M18" s="101" t="n"/>
      <c r="N18" s="78">
        <f>IF(OR(L18="",M18="",$G$5="",$G$6=""),"",(L18/$G$5)/(M18/$G$6)^(1/3))</f>
        <v/>
      </c>
      <c r="O18" s="101" t="n"/>
      <c r="P18" s="101" t="n"/>
      <c r="Q18" s="101" t="n"/>
      <c r="R18" s="101" t="n"/>
    </row>
    <row r="19" ht="15" customHeight="1" s="53">
      <c r="B19" s="93" t="n">
        <v>11</v>
      </c>
      <c r="C19" s="80" t="n">
        <v>4.55</v>
      </c>
      <c r="D19" s="80" t="n">
        <v>0.23</v>
      </c>
      <c r="E19" s="80" t="n">
        <v>0.08</v>
      </c>
      <c r="F19" s="64" t="inlineStr">
        <is>
          <t>Ag-MgO</t>
        </is>
      </c>
      <c r="G19" s="100" t="n">
        <v>2</v>
      </c>
      <c r="H19" s="93" t="n">
        <v>300</v>
      </c>
      <c r="I19" s="93" t="n">
        <v>15</v>
      </c>
      <c r="J19" s="100" t="n">
        <v>1.2</v>
      </c>
      <c r="K19" s="100" t="n">
        <v>12.6</v>
      </c>
      <c r="L19" s="101" t="n"/>
      <c r="M19" s="101" t="n"/>
      <c r="N19" s="78">
        <f>IF(OR(L19="",M19="",$G$5="",$G$6=""),"",(L19/$G$5)/(M19/$G$6)^(1/3))</f>
        <v/>
      </c>
      <c r="O19" s="101" t="n"/>
      <c r="P19" s="101" t="n"/>
      <c r="Q19" s="101" t="n"/>
      <c r="R19" s="101" t="n"/>
    </row>
    <row r="20" ht="15" customHeight="1" s="53">
      <c r="B20" s="93" t="n">
        <v>12</v>
      </c>
      <c r="C20" s="80" t="n">
        <v>4.55</v>
      </c>
      <c r="D20" s="80" t="n">
        <v>0.23</v>
      </c>
      <c r="E20" s="80" t="n">
        <v>0.12</v>
      </c>
      <c r="F20" s="64" t="inlineStr">
        <is>
          <t>Fe2O3-GO</t>
        </is>
      </c>
      <c r="G20" s="100" t="n">
        <v>0.5</v>
      </c>
      <c r="H20" s="93" t="n">
        <v>300</v>
      </c>
      <c r="I20" s="93" t="n">
        <v>15</v>
      </c>
      <c r="J20" s="100" t="n">
        <v>1.8</v>
      </c>
      <c r="K20" s="100" t="n">
        <v>11.4</v>
      </c>
      <c r="L20" s="101" t="n"/>
      <c r="M20" s="101" t="n"/>
      <c r="N20" s="78">
        <f>IF(OR(L20="",M20="",$G$5="",$G$6=""),"",(L20/$G$5)/(M20/$G$6)^(1/3))</f>
        <v/>
      </c>
      <c r="O20" s="101" t="n"/>
      <c r="P20" s="101" t="n"/>
      <c r="Q20" s="101" t="n"/>
      <c r="R20" s="101" t="n"/>
    </row>
    <row r="21" ht="15" customHeight="1" s="53">
      <c r="B21" s="93" t="n">
        <v>13</v>
      </c>
      <c r="C21" s="80" t="n">
        <v>4.55</v>
      </c>
      <c r="D21" s="80" t="n">
        <v>0.38</v>
      </c>
      <c r="E21" s="80" t="n">
        <v>0.04</v>
      </c>
      <c r="F21" s="64" t="inlineStr">
        <is>
          <t>Ag-MgO</t>
        </is>
      </c>
      <c r="G21" s="100" t="n">
        <v>0.5</v>
      </c>
      <c r="H21" s="93" t="n">
        <v>300</v>
      </c>
      <c r="I21" s="93" t="n">
        <v>25</v>
      </c>
      <c r="J21" s="100" t="n">
        <v>1</v>
      </c>
      <c r="K21" s="100" t="n">
        <v>23</v>
      </c>
      <c r="L21" s="101" t="n"/>
      <c r="M21" s="101" t="n"/>
      <c r="N21" s="78">
        <f>IF(OR(L21="",M21="",$G$5="",$G$6=""),"",(L21/$G$5)/(M21/$G$6)^(1/3))</f>
        <v/>
      </c>
      <c r="O21" s="101" t="n"/>
      <c r="P21" s="101" t="n"/>
      <c r="Q21" s="101" t="n"/>
      <c r="R21" s="101" t="n"/>
    </row>
    <row r="22" ht="15" customHeight="1" s="53">
      <c r="B22" s="93" t="n">
        <v>14</v>
      </c>
      <c r="C22" s="80" t="n">
        <v>4.55</v>
      </c>
      <c r="D22" s="80" t="n">
        <v>0.38</v>
      </c>
      <c r="E22" s="80" t="n">
        <v>0.08</v>
      </c>
      <c r="F22" s="64" t="inlineStr">
        <is>
          <t>Fe2O3-GO</t>
        </is>
      </c>
      <c r="G22" s="100" t="n">
        <v>1</v>
      </c>
      <c r="H22" s="93" t="n">
        <v>300</v>
      </c>
      <c r="I22" s="93" t="n">
        <v>25</v>
      </c>
      <c r="J22" s="100" t="n">
        <v>2</v>
      </c>
      <c r="K22" s="100" t="n">
        <v>21</v>
      </c>
      <c r="L22" s="101" t="n"/>
      <c r="M22" s="101" t="n"/>
      <c r="N22" s="78">
        <f>IF(OR(L22="",M22="",$G$5="",$G$6=""),"",(L22/$G$5)/(M22/$G$6)^(1/3))</f>
        <v/>
      </c>
      <c r="O22" s="101" t="n"/>
      <c r="P22" s="101" t="n"/>
      <c r="Q22" s="101" t="n"/>
      <c r="R22" s="101" t="n"/>
    </row>
    <row r="23" ht="15" customHeight="1" s="53">
      <c r="B23" s="93" t="n">
        <v>15</v>
      </c>
      <c r="C23" s="80" t="n">
        <v>4.55</v>
      </c>
      <c r="D23" s="80" t="n">
        <v>0.38</v>
      </c>
      <c r="E23" s="80" t="n">
        <v>0.12</v>
      </c>
      <c r="F23" s="64" t="inlineStr">
        <is>
          <t>Al2O3-MWCNT</t>
        </is>
      </c>
      <c r="G23" s="100" t="n">
        <v>2</v>
      </c>
      <c r="H23" s="93" t="n">
        <v>300</v>
      </c>
      <c r="I23" s="93" t="n">
        <v>25</v>
      </c>
      <c r="J23" s="100" t="n">
        <v>3</v>
      </c>
      <c r="K23" s="100" t="n">
        <v>19</v>
      </c>
      <c r="L23" s="101" t="n"/>
      <c r="M23" s="101" t="n"/>
      <c r="N23" s="78">
        <f>IF(OR(L23="",M23="",$G$5="",$G$6=""),"",(L23/$G$5)/(M23/$G$6)^(1/3))</f>
        <v/>
      </c>
      <c r="O23" s="101" t="n"/>
      <c r="P23" s="101" t="n"/>
      <c r="Q23" s="101" t="n"/>
      <c r="R23" s="101" t="n"/>
    </row>
    <row r="24" ht="15" customHeight="1" s="53">
      <c r="B24" s="93" t="n">
        <v>16</v>
      </c>
      <c r="C24" s="80" t="n">
        <v>4.55</v>
      </c>
      <c r="D24" s="80" t="n">
        <v>0.53</v>
      </c>
      <c r="E24" s="80" t="n">
        <v>0.04</v>
      </c>
      <c r="F24" s="64" t="inlineStr">
        <is>
          <t>Fe2O3-GO</t>
        </is>
      </c>
      <c r="G24" s="100" t="n">
        <v>2</v>
      </c>
      <c r="H24" s="93" t="n">
        <v>300</v>
      </c>
      <c r="I24" s="93" t="n">
        <v>35</v>
      </c>
      <c r="J24" s="100" t="n">
        <v>1.4</v>
      </c>
      <c r="K24" s="100" t="n">
        <v>32.2</v>
      </c>
      <c r="L24" s="101" t="n"/>
      <c r="M24" s="101" t="n"/>
      <c r="N24" s="78">
        <f>IF(OR(L24="",M24="",$G$5="",$G$6=""),"",(L24/$G$5)/(M24/$G$6)^(1/3))</f>
        <v/>
      </c>
      <c r="O24" s="101" t="n"/>
      <c r="P24" s="101" t="n"/>
      <c r="Q24" s="101" t="n"/>
      <c r="R24" s="101" t="n"/>
    </row>
    <row r="25" ht="15" customHeight="1" s="53">
      <c r="B25" s="93" t="n">
        <v>17</v>
      </c>
      <c r="C25" s="80" t="n">
        <v>4.55</v>
      </c>
      <c r="D25" s="80" t="n">
        <v>0.53</v>
      </c>
      <c r="E25" s="80" t="n">
        <v>0.08</v>
      </c>
      <c r="F25" s="64" t="inlineStr">
        <is>
          <t>Al2O3-MWCNT</t>
        </is>
      </c>
      <c r="G25" s="100" t="n">
        <v>0.5</v>
      </c>
      <c r="H25" s="93" t="n">
        <v>300</v>
      </c>
      <c r="I25" s="93" t="n">
        <v>35</v>
      </c>
      <c r="J25" s="100" t="n">
        <v>2.8</v>
      </c>
      <c r="K25" s="100" t="n">
        <v>29.4</v>
      </c>
      <c r="L25" s="101" t="n"/>
      <c r="M25" s="101" t="n"/>
      <c r="N25" s="78">
        <f>IF(OR(L25="",M25="",$G$5="",$G$6=""),"",(L25/$G$5)/(M25/$G$6)^(1/3))</f>
        <v/>
      </c>
      <c r="O25" s="101" t="n"/>
      <c r="P25" s="101" t="n"/>
      <c r="Q25" s="101" t="n"/>
      <c r="R25" s="101" t="n"/>
    </row>
    <row r="26" ht="15" customHeight="1" s="53">
      <c r="B26" s="93" t="n">
        <v>18</v>
      </c>
      <c r="C26" s="80" t="n">
        <v>4.55</v>
      </c>
      <c r="D26" s="80" t="n">
        <v>0.53</v>
      </c>
      <c r="E26" s="80" t="n">
        <v>0.12</v>
      </c>
      <c r="F26" s="64" t="inlineStr">
        <is>
          <t>Ag-MgO</t>
        </is>
      </c>
      <c r="G26" s="100" t="n">
        <v>1</v>
      </c>
      <c r="H26" s="93" t="n">
        <v>300</v>
      </c>
      <c r="I26" s="93" t="n">
        <v>35</v>
      </c>
      <c r="J26" s="100" t="n">
        <v>4.2</v>
      </c>
      <c r="K26" s="100" t="n">
        <v>26.6</v>
      </c>
      <c r="L26" s="101" t="n"/>
      <c r="M26" s="101" t="n"/>
      <c r="N26" s="78">
        <f>IF(OR(L26="",M26="",$G$5="",$G$6=""),"",(L26/$G$5)/(M26/$G$6)^(1/3))</f>
        <v/>
      </c>
      <c r="O26" s="101" t="n"/>
      <c r="P26" s="101" t="n"/>
      <c r="Q26" s="101" t="n"/>
      <c r="R26" s="101" t="n"/>
    </row>
    <row r="27" ht="15" customHeight="1" s="53">
      <c r="B27" s="93" t="n">
        <v>19</v>
      </c>
      <c r="C27" s="80" t="n">
        <v>6.06</v>
      </c>
      <c r="D27" s="80" t="n">
        <v>0.23</v>
      </c>
      <c r="E27" s="80" t="n">
        <v>0.04</v>
      </c>
      <c r="F27" s="64" t="inlineStr">
        <is>
          <t>Ag-MgO</t>
        </is>
      </c>
      <c r="G27" s="100" t="n">
        <v>2</v>
      </c>
      <c r="H27" s="93" t="n">
        <v>400</v>
      </c>
      <c r="I27" s="93" t="n">
        <v>15</v>
      </c>
      <c r="J27" s="100" t="n">
        <v>0.6</v>
      </c>
      <c r="K27" s="100" t="n">
        <v>13.8</v>
      </c>
      <c r="L27" s="101" t="n"/>
      <c r="M27" s="101" t="n"/>
      <c r="N27" s="78">
        <f>IF(OR(L27="",M27="",$G$5="",$G$6=""),"",(L27/$G$5)/(M27/$G$6)^(1/3))</f>
        <v/>
      </c>
      <c r="O27" s="101" t="n"/>
      <c r="P27" s="101" t="n"/>
      <c r="Q27" s="101" t="n"/>
      <c r="R27" s="101" t="n"/>
    </row>
    <row r="28" ht="15" customHeight="1" s="53">
      <c r="B28" s="93" t="n">
        <v>20</v>
      </c>
      <c r="C28" s="80" t="n">
        <v>6.06</v>
      </c>
      <c r="D28" s="80" t="n">
        <v>0.23</v>
      </c>
      <c r="E28" s="80" t="n">
        <v>0.08</v>
      </c>
      <c r="F28" s="64" t="inlineStr">
        <is>
          <t>Fe2O3-GO</t>
        </is>
      </c>
      <c r="G28" s="100" t="n">
        <v>0.5</v>
      </c>
      <c r="H28" s="93" t="n">
        <v>400</v>
      </c>
      <c r="I28" s="93" t="n">
        <v>15</v>
      </c>
      <c r="J28" s="100" t="n">
        <v>1.2</v>
      </c>
      <c r="K28" s="100" t="n">
        <v>12.6</v>
      </c>
      <c r="L28" s="101" t="n"/>
      <c r="M28" s="101" t="n"/>
      <c r="N28" s="78">
        <f>IF(OR(L28="",M28="",$G$5="",$G$6=""),"",(L28/$G$5)/(M28/$G$6)^(1/3))</f>
        <v/>
      </c>
      <c r="O28" s="101" t="n"/>
      <c r="P28" s="101" t="n"/>
      <c r="Q28" s="101" t="n"/>
      <c r="R28" s="101" t="n"/>
    </row>
    <row r="29" ht="15" customHeight="1" s="53">
      <c r="B29" s="93" t="n">
        <v>21</v>
      </c>
      <c r="C29" s="80" t="n">
        <v>6.06</v>
      </c>
      <c r="D29" s="80" t="n">
        <v>0.23</v>
      </c>
      <c r="E29" s="80" t="n">
        <v>0.12</v>
      </c>
      <c r="F29" s="64" t="inlineStr">
        <is>
          <t>Al2O3-MWCNT</t>
        </is>
      </c>
      <c r="G29" s="100" t="n">
        <v>1</v>
      </c>
      <c r="H29" s="93" t="n">
        <v>400</v>
      </c>
      <c r="I29" s="93" t="n">
        <v>15</v>
      </c>
      <c r="J29" s="100" t="n">
        <v>1.8</v>
      </c>
      <c r="K29" s="100" t="n">
        <v>11.4</v>
      </c>
      <c r="L29" s="101" t="n"/>
      <c r="M29" s="101" t="n"/>
      <c r="N29" s="78">
        <f>IF(OR(L29="",M29="",$G$5="",$G$6=""),"",(L29/$G$5)/(M29/$G$6)^(1/3))</f>
        <v/>
      </c>
      <c r="O29" s="101" t="n"/>
      <c r="P29" s="101" t="n"/>
      <c r="Q29" s="101" t="n"/>
      <c r="R29" s="101" t="n"/>
    </row>
    <row r="30" ht="15" customHeight="1" s="53">
      <c r="B30" s="93" t="n">
        <v>22</v>
      </c>
      <c r="C30" s="80" t="n">
        <v>6.06</v>
      </c>
      <c r="D30" s="80" t="n">
        <v>0.38</v>
      </c>
      <c r="E30" s="80" t="n">
        <v>0.04</v>
      </c>
      <c r="F30" s="64" t="inlineStr">
        <is>
          <t>Fe2O3-GO</t>
        </is>
      </c>
      <c r="G30" s="100" t="n">
        <v>1</v>
      </c>
      <c r="H30" s="93" t="n">
        <v>400</v>
      </c>
      <c r="I30" s="93" t="n">
        <v>25</v>
      </c>
      <c r="J30" s="100" t="n">
        <v>1</v>
      </c>
      <c r="K30" s="100" t="n">
        <v>23</v>
      </c>
      <c r="L30" s="101" t="n"/>
      <c r="M30" s="101" t="n"/>
      <c r="N30" s="78">
        <f>IF(OR(L30="",M30="",$G$5="",$G$6=""),"",(L30/$G$5)/(M30/$G$6)^(1/3))</f>
        <v/>
      </c>
      <c r="O30" s="101" t="n"/>
      <c r="P30" s="101" t="n"/>
      <c r="Q30" s="101" t="n"/>
      <c r="R30" s="101" t="n"/>
    </row>
    <row r="31" ht="15" customHeight="1" s="53">
      <c r="B31" s="93" t="n">
        <v>23</v>
      </c>
      <c r="C31" s="80" t="n">
        <v>6.06</v>
      </c>
      <c r="D31" s="80" t="n">
        <v>0.38</v>
      </c>
      <c r="E31" s="80" t="n">
        <v>0.08</v>
      </c>
      <c r="F31" s="64" t="inlineStr">
        <is>
          <t>Al2O3-MWCNT</t>
        </is>
      </c>
      <c r="G31" s="100" t="n">
        <v>2</v>
      </c>
      <c r="H31" s="93" t="n">
        <v>400</v>
      </c>
      <c r="I31" s="93" t="n">
        <v>25</v>
      </c>
      <c r="J31" s="100" t="n">
        <v>2</v>
      </c>
      <c r="K31" s="100" t="n">
        <v>21</v>
      </c>
      <c r="L31" s="101" t="n"/>
      <c r="M31" s="101" t="n"/>
      <c r="N31" s="78">
        <f>IF(OR(L31="",M31="",$G$5="",$G$6=""),"",(L31/$G$5)/(M31/$G$6)^(1/3))</f>
        <v/>
      </c>
      <c r="O31" s="101" t="n"/>
      <c r="P31" s="101" t="n"/>
      <c r="Q31" s="101" t="n"/>
      <c r="R31" s="101" t="n"/>
    </row>
    <row r="32" ht="15" customHeight="1" s="53">
      <c r="B32" s="93" t="n">
        <v>24</v>
      </c>
      <c r="C32" s="80" t="n">
        <v>6.06</v>
      </c>
      <c r="D32" s="80" t="n">
        <v>0.38</v>
      </c>
      <c r="E32" s="80" t="n">
        <v>0.12</v>
      </c>
      <c r="F32" s="64" t="inlineStr">
        <is>
          <t>Ag-MgO</t>
        </is>
      </c>
      <c r="G32" s="100" t="n">
        <v>0.5</v>
      </c>
      <c r="H32" s="93" t="n">
        <v>400</v>
      </c>
      <c r="I32" s="93" t="n">
        <v>25</v>
      </c>
      <c r="J32" s="100" t="n">
        <v>3</v>
      </c>
      <c r="K32" s="100" t="n">
        <v>19</v>
      </c>
      <c r="L32" s="101" t="n"/>
      <c r="M32" s="101" t="n"/>
      <c r="N32" s="78">
        <f>IF(OR(L32="",M32="",$G$5="",$G$6=""),"",(L32/$G$5)/(M32/$G$6)^(1/3))</f>
        <v/>
      </c>
      <c r="O32" s="101" t="n"/>
      <c r="P32" s="101" t="n"/>
      <c r="Q32" s="101" t="n"/>
      <c r="R32" s="101" t="n"/>
    </row>
    <row r="33" ht="15" customHeight="1" s="53">
      <c r="B33" s="93" t="n">
        <v>25</v>
      </c>
      <c r="C33" s="80" t="n">
        <v>6.06</v>
      </c>
      <c r="D33" s="80" t="n">
        <v>0.53</v>
      </c>
      <c r="E33" s="80" t="n">
        <v>0.04</v>
      </c>
      <c r="F33" s="64" t="inlineStr">
        <is>
          <t>Al2O3-MWCNT</t>
        </is>
      </c>
      <c r="G33" s="100" t="n">
        <v>0.5</v>
      </c>
      <c r="H33" s="93" t="n">
        <v>400</v>
      </c>
      <c r="I33" s="93" t="n">
        <v>35</v>
      </c>
      <c r="J33" s="100" t="n">
        <v>1.4</v>
      </c>
      <c r="K33" s="100" t="n">
        <v>32.2</v>
      </c>
      <c r="L33" s="101" t="n"/>
      <c r="M33" s="101" t="n"/>
      <c r="N33" s="78">
        <f>IF(OR(L33="",M33="",$G$5="",$G$6=""),"",(L33/$G$5)/(M33/$G$6)^(1/3))</f>
        <v/>
      </c>
      <c r="O33" s="101" t="n"/>
      <c r="P33" s="101" t="n"/>
      <c r="Q33" s="101" t="n"/>
      <c r="R33" s="101" t="n"/>
    </row>
    <row r="34" ht="15" customHeight="1" s="53">
      <c r="B34" s="93" t="n">
        <v>26</v>
      </c>
      <c r="C34" s="80" t="n">
        <v>6.06</v>
      </c>
      <c r="D34" s="80" t="n">
        <v>0.53</v>
      </c>
      <c r="E34" s="80" t="n">
        <v>0.08</v>
      </c>
      <c r="F34" s="64" t="inlineStr">
        <is>
          <t>Ag-MgO</t>
        </is>
      </c>
      <c r="G34" s="100" t="n">
        <v>1</v>
      </c>
      <c r="H34" s="93" t="n">
        <v>400</v>
      </c>
      <c r="I34" s="93" t="n">
        <v>35</v>
      </c>
      <c r="J34" s="100" t="n">
        <v>2.8</v>
      </c>
      <c r="K34" s="100" t="n">
        <v>29.4</v>
      </c>
      <c r="L34" s="101" t="n"/>
      <c r="M34" s="101" t="n"/>
      <c r="N34" s="78">
        <f>IF(OR(L34="",M34="",$G$5="",$G$6=""),"",(L34/$G$5)/(M34/$G$6)^(1/3))</f>
        <v/>
      </c>
      <c r="O34" s="101" t="n"/>
      <c r="P34" s="101" t="n"/>
      <c r="Q34" s="101" t="n"/>
      <c r="R34" s="101" t="n"/>
    </row>
    <row r="35" ht="15" customHeight="1" s="53">
      <c r="B35" s="93" t="n">
        <v>27</v>
      </c>
      <c r="C35" s="80" t="n">
        <v>6.06</v>
      </c>
      <c r="D35" s="80" t="n">
        <v>0.53</v>
      </c>
      <c r="E35" s="80" t="n">
        <v>0.12</v>
      </c>
      <c r="F35" s="64" t="inlineStr">
        <is>
          <t>Fe2O3-GO</t>
        </is>
      </c>
      <c r="G35" s="100" t="n">
        <v>2</v>
      </c>
      <c r="H35" s="93" t="n">
        <v>400</v>
      </c>
      <c r="I35" s="93" t="n">
        <v>35</v>
      </c>
      <c r="J35" s="100" t="n">
        <v>4.2</v>
      </c>
      <c r="K35" s="100" t="n">
        <v>26.6</v>
      </c>
      <c r="L35" s="101" t="n"/>
      <c r="M35" s="101" t="n"/>
      <c r="N35" s="78">
        <f>IF(OR(L35="",M35="",$G$5="",$G$6=""),"",(L35/$G$5)/(M35/$G$6)^(1/3))</f>
        <v/>
      </c>
      <c r="O35" s="101" t="n"/>
      <c r="P35" s="101" t="n"/>
      <c r="Q35" s="101" t="n"/>
      <c r="R35" s="101" t="n"/>
    </row>
    <row r="37" ht="30" customHeight="1" s="53">
      <c r="B37" s="65" t="inlineStr">
        <is>
          <t>Each factor level appears exactly 9 times across the 27 runs (Taguchi orthogonal balance) -- do not reorder or edit the factor columns. PEC = (Nu/Nu_plain) / (f/f_plain)^(1/3): PEC &gt; 1 means the enhancement is worth its friction penalty.</t>
        </is>
      </c>
    </row>
  </sheetData>
  <mergeCells count="4">
    <mergeCell ref="B3:R3"/>
    <mergeCell ref="B37:R37"/>
    <mergeCell ref="B6:F6"/>
    <mergeCell ref="B5:F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2026-08-03T18:28:21Z</dcterms:created>
  <dcterms:modified xsi:type="dcterms:W3CDTF">2026-08-05T00:57:49Z</dcterms:modified>
  <cp:revision>0</cp:revision>
</cp:coreProperties>
</file>