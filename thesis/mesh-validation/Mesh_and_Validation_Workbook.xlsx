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luid Properties" sheetId="3" state="visible" r:id="rId5"/>
    <sheet name="YPlus Inflation" sheetId="4" state="visible" r:id="rId6"/>
    <sheet name="Mesh Levels" sheetId="5" state="visible" r:id="rId7"/>
    <sheet name="Correlation Validation" sheetId="6" state="visible" r:id="rId8"/>
    <sheet name="GCI Mesh Independence" sheetId="7" state="visible" r:id="rId9"/>
    <sheet name="Dudley D1 Validation" sheetId="8" state="visible" r:id="rId10"/>
    <sheet name="L27 Run 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<sst xmlns="http://schemas.openxmlformats.org/spreadsheetml/2006/main" count="259" uniqueCount="204">
  <si>
    <t xml:space="preserve">PTSC-HTSP Thesis — Meshing &amp; Validation Workbook</t>
  </si>
  <si>
    <t xml:space="preserve">Smooth-tube validation phase: mesh sizing, y+/inflation design, GCI mesh independence, and correlation checks</t>
  </si>
  <si>
    <t xml:space="preserve">How this workbook is organized</t>
  </si>
  <si>
    <t xml:space="preserve">Inputs</t>
  </si>
  <si>
    <t xml:space="preserve">Every number used elsewhere lives here once. Change Re, Tb, growth rate, etc. here and it propagates everywhere via formulas.</t>
  </si>
  <si>
    <t xml:space="preserve">Fluid Properties</t>
  </si>
  <si>
    <t xml:space="preserve">Syltherm 800 property table + interpolation to your validation bulk temperature (Tb = 500 K). Contains PLACEHOLDER data — see warning below.</t>
  </si>
  <si>
    <t xml:space="preserve">YPlus Inflation</t>
  </si>
  <si>
    <t xml:space="preserve">Step-by-step y+ calculation (same method as the CFD-Online y+ calculator) and the resulting inflation-layer design: first layer height, growth rate, number of layers.</t>
  </si>
  <si>
    <t xml:space="preserve">Mesh Levels</t>
  </si>
  <si>
    <t xml:space="preserve">Coarse / Medium / Fine mesh parameters for your 3-level GCI study. Shows exactly what changes between levels and what must stay constant.</t>
  </si>
  <si>
    <t xml:space="preserve">Correlation Validation</t>
  </si>
  <si>
    <t xml:space="preserve">Gnielinski Nu and Petukhov f target values across your Re sweep (5,000-100,000), with blank cells for your Fluent results and automatic pass/fail against the 9%/5% thresholds in your solver_and_formulas.md.</t>
  </si>
  <si>
    <t xml:space="preserve">GCI Mesh Independence</t>
  </si>
  <si>
    <t xml:space="preserve">Celik et al. (2008) 3-grid Richardson extrapolation. Fill in your Nu and f from the coarse/medium/fine runs; GCI% computes automatically.</t>
  </si>
  <si>
    <t xml:space="preserve">Dudley D1 Validation</t>
  </si>
  <si>
    <t xml:space="preserve">Reproduction of Dudley et al. Table D-1 (9 cermet/vacuum cases) with blank columns for your CFD results.</t>
  </si>
  <si>
    <t xml:space="preserve">L27 Run Log</t>
  </si>
  <si>
    <t xml:space="preserve">Your full 27-run Taguchi matrix with blank result columns, matching the tracking sheet your own roadmap document recommends building.</t>
  </si>
  <si>
    <t xml:space="preserve">IMPORTANT — read before trusting any number here</t>
  </si>
  <si>
    <t xml:space="preserve">1. Syltherm 800 properties are ESTIMATES.</t>
  </si>
  <si>
    <t xml:space="preserve"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</si>
  <si>
    <t xml:space="preserve">2. Two different residual targets exist in your own files.</t>
  </si>
  <si>
    <t xml:space="preserve"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</si>
  <si>
    <t xml:space="preserve">3. First-layer height is sized for Re = 100,000 (your worst case), not per-run.</t>
  </si>
  <si>
    <t xml:space="preserve">Thinner boundary layer at higher Re is the tightest constraint on y+. Using the Re-max first-layer height means y+ will be even better (lower) at lower Re with the same mesh -- that's fine, it's not a source of error.</t>
  </si>
  <si>
    <t xml:space="preserve">4. Mesh independence (GCI) must be run at ONE fixed Re.</t>
  </si>
  <si>
    <t xml:space="preserve">Recommended: Re = 100,000, matching your y+ design point. Run the same smooth-tube geometry at coarse/medium/fine mesh density, same Re, same everything else -- only mesh density changes.</t>
  </si>
  <si>
    <t xml:space="preserve">Global Inputs</t>
  </si>
  <si>
    <t xml:space="preserve">Change values here (blue). Everything else in the workbook references these cells.</t>
  </si>
  <si>
    <t xml:space="preserve">Parameter</t>
  </si>
  <si>
    <t xml:space="preserve">Value</t>
  </si>
  <si>
    <t xml:space="preserve">Units</t>
  </si>
  <si>
    <t xml:space="preserve">Notes</t>
  </si>
  <si>
    <t xml:space="preserve">Tube inner diameter, D (dti)</t>
  </si>
  <si>
    <t xml:space="preserve">m</t>
  </si>
  <si>
    <t xml:space="preserve">Locked design value, from CLAUDE.md geometry</t>
  </si>
  <si>
    <t xml:space="preserve">Tube length, L</t>
  </si>
  <si>
    <t xml:space="preserve">Locked design value (4000 mm)</t>
  </si>
  <si>
    <t xml:space="preserve">Re, minimum (validation range)</t>
  </si>
  <si>
    <t xml:space="preserve">-</t>
  </si>
  <si>
    <t xml:space="preserve">From solver_and_formulas.md validation range</t>
  </si>
  <si>
    <t xml:space="preserve">Re, maximum (validation range)</t>
  </si>
  <si>
    <t xml:space="preserve">From solver_and_formulas.md validation range -- also the mesh-design worst case</t>
  </si>
  <si>
    <t xml:space="preserve">Tb, validation bulk temperature</t>
  </si>
  <si>
    <t xml:space="preserve">K</t>
  </si>
  <si>
    <t xml:space="preserve">From solver_and_formulas.md validation plan (Re 5k-100k, Tb=500K)</t>
  </si>
  <si>
    <t xml:space="preserve">Target y+ (first inflation layer)</t>
  </si>
  <si>
    <t xml:space="preserve">Enhanced Wall Treatment / y+~1 requirement, per solver_and_formulas.md</t>
  </si>
  <si>
    <t xml:space="preserve">Inflation growth rate</t>
  </si>
  <si>
    <t xml:space="preserve">Mid-range of roadmap's suggested 1.1-1.2</t>
  </si>
  <si>
    <t xml:space="preserve">Number of inflation layers</t>
  </si>
  <si>
    <t xml:space="preserve">Computed to give a sensible total BL thickness -- see YPlus Inflation sheet</t>
  </si>
  <si>
    <t xml:space="preserve">Mesh refinement ratio, r (level-to-level)</t>
  </si>
  <si>
    <t xml:space="preserve">Coarse-&gt;Medium-&gt;Fine. Celik et al. (2008) recommends r &gt;= 1.3</t>
  </si>
  <si>
    <t xml:space="preserve">Syltherm 800 Properties</t>
  </si>
  <si>
    <t xml:space="preserve"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</si>
  <si>
    <t xml:space="preserve">T (°C)</t>
  </si>
  <si>
    <t xml:space="preserve">T (K)</t>
  </si>
  <si>
    <t xml:space="preserve">ρ Density
(kg/m³)</t>
  </si>
  <si>
    <t xml:space="preserve">ν Kin. Visc.
(cSt)</t>
  </si>
  <si>
    <t xml:space="preserve">k Therm. Cond.
(W/m·K)</t>
  </si>
  <si>
    <t xml:space="preserve">cp Spec. Heat
(kJ/kg·K)</t>
  </si>
  <si>
    <t xml:space="preserve">Source: approximate values only -- see warning above. Replace with Ref [68].</t>
  </si>
  <si>
    <t xml:space="preserve">Design Point (used everywhere else in this workbook)</t>
  </si>
  <si>
    <t xml:space="preserve">Tb (K)</t>
  </si>
  <si>
    <t xml:space="preserve">Tb (°C)</t>
  </si>
  <si>
    <t xml:space="preserve">ρ interpolated (kg/m³)</t>
  </si>
  <si>
    <t xml:space="preserve">ν interpolated (cSt)</t>
  </si>
  <si>
    <t xml:space="preserve">k interpolated (W/m·K)</t>
  </si>
  <si>
    <t xml:space="preserve">cp interpolated (kJ/kg·K)</t>
  </si>
  <si>
    <t xml:space="preserve">μ dynamic viscosity (Pa·s) = ν(cSt)×1e-6×ρ</t>
  </si>
  <si>
    <t xml:space="preserve">ν kinematic viscosity (m²/s)</t>
  </si>
  <si>
    <t xml:space="preserve">cp (J/kg·K)</t>
  </si>
  <si>
    <t xml:space="preserve">Pr Prandtl number = cp·μ/k</t>
  </si>
  <si>
    <t xml:space="preserve">y+ Calculation and Inflation-Layer Design</t>
  </si>
  <si>
    <t xml:space="preserve">Same method as the CFD-Online y+ calculator: Re -&gt; V -&gt; friction factor -&gt; wall shear -&gt; friction velocity -&gt; first-layer height for target y+.</t>
  </si>
  <si>
    <t xml:space="preserve">Re = min</t>
  </si>
  <si>
    <t xml:space="preserve">Re = max  (DESIGN CASE)</t>
  </si>
  <si>
    <t xml:space="preserve">Re</t>
  </si>
  <si>
    <t xml:space="preserve">D (m)</t>
  </si>
  <si>
    <t xml:space="preserve">ν (m²/s)</t>
  </si>
  <si>
    <t xml:space="preserve">ρ (kg/m³)</t>
  </si>
  <si>
    <t xml:space="preserve">Velocity  V = Re·ν / D  (m/s)</t>
  </si>
  <si>
    <t xml:space="preserve">Darcy friction factor, f  (Petukhov: (0.79·ln(Re)-1.64)^-2)</t>
  </si>
  <si>
    <t xml:space="preserve">Wall shear stress  τw = (f/8)·ρ·V²  (Pa)</t>
  </si>
  <si>
    <t xml:space="preserve">Friction velocity  uτ = √(τw/ρ)  (m/s)</t>
  </si>
  <si>
    <t xml:space="preserve">First layer height for y+ = target  (m)  =  y+ · ν / uτ</t>
  </si>
  <si>
    <t xml:space="preserve">First layer height (mm)</t>
  </si>
  <si>
    <t xml:space="preserve">First layer height (µm)</t>
  </si>
  <si>
    <t xml:space="preserve">DESIGN VALUES -- enter these directly into ANSYS Meshing's Inflation control</t>
  </si>
  <si>
    <t xml:space="preserve">First layer height, worst case Re=max (mm)</t>
  </si>
  <si>
    <t xml:space="preserve">First layer height (µm) -- what you'll type into ANSYS (First Layer Thickness)</t>
  </si>
  <si>
    <t xml:space="preserve">Growth rate (input on Inputs sheet)</t>
  </si>
  <si>
    <t xml:space="preserve">Number of inflation layers (input on Inputs sheet)</t>
  </si>
  <si>
    <t xml:space="preserve">Total inflation stack thickness (mm) = a·(rⁿ-1)/(r-1)</t>
  </si>
  <si>
    <t xml:space="preserve">Tube radius (mm)  -- sanity-check denominator</t>
  </si>
  <si>
    <t xml:space="preserve">Inflation stack as % of tube radius  (aim ~5-20%)</t>
  </si>
  <si>
    <t xml:space="preserve"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</si>
  <si>
    <t xml:space="preserve">Mesh Levels — Coarse / Medium / Fine</t>
  </si>
  <si>
    <t xml:space="preserve">Blue cells (Coarse column) are the only ones you type. Medium and Fine are computed by multiplying by the refinement ratio r (Inputs sheet) -- this is what gives you a clean, defensible r for the GCI calculation later, instead of picking mesh sizes by feel.</t>
  </si>
  <si>
    <t xml:space="preserve">Refinement ratio, r  (from Inputs sheet)</t>
  </si>
  <si>
    <t xml:space="preserve">Coarse (Level 3)</t>
  </si>
  <si>
    <t xml:space="preserve">Medium (Level 2)</t>
  </si>
  <si>
    <t xml:space="preserve">Fine (Level 1)</t>
  </si>
  <si>
    <t xml:space="preserve">Circumferential divisions (around the O-grid perimeter)</t>
  </si>
  <si>
    <t xml:space="preserve">Core (O-grid centre square) radial divisions</t>
  </si>
  <si>
    <t xml:space="preserve">Axial divisions (along the 4 m tube length)</t>
  </si>
  <si>
    <t xml:space="preserve">Approx. circumferential cell size (mm) = π·D / N_circ</t>
  </si>
  <si>
    <t xml:space="preserve">Approx. axial cell length (mm) = L / N_axial</t>
  </si>
  <si>
    <t xml:space="preserve">Core-radial cell size -- needs one assumption circumferential/axial didn't: how big is the O-grid centre square?</t>
  </si>
  <si>
    <t xml:space="preserve">Core block half-width, as a fraction of tube radius (editable -- common O-grid practice is 0.35-0.45, not a strict rule)</t>
  </si>
  <si>
    <t xml:space="preserve">Tube radius (mm)</t>
  </si>
  <si>
    <t xml:space="preserve">Core block half-width (mm) = fraction × radius</t>
  </si>
  <si>
    <t xml:space="preserve">Radial (wedge) span (mm) = radius - core half-width</t>
  </si>
  <si>
    <t xml:space="preserve">Approx. core-radial cell size (mm) = wedge span / N_core</t>
  </si>
  <si>
    <t xml:space="preserve"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</si>
  <si>
    <t xml:space="preserve">Inflation (boundary layer) settings — CONSTANT across all three levels, do NOT change these between runs</t>
  </si>
  <si>
    <t xml:space="preserve">Growth rate</t>
  </si>
  <si>
    <t xml:space="preserve">Approx. total cell count (order-of-magnitude estimate)
= N_circ × N_axial × (N_core + N_inflation_layers)</t>
  </si>
  <si>
    <t xml:space="preserve">Representative cell size h (mm) = (tube volume / N_total)^(1/3)
[used for the GCI refinement-ratio check on the next sheet]</t>
  </si>
  <si>
    <t xml:space="preserve"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</si>
  <si>
    <t xml:space="preserve">Smooth-Tube Validation vs Gnielinski / Petukhov</t>
  </si>
  <si>
    <t xml:space="preserve">Yellow cells: paste your Fluent results here after each run, at the matching Re. Deviation % and PASS/FAIL compute automatically against the thresholds in your solver_and_formulas.md (Nu &lt;= 9%, f &lt;= 5%).</t>
  </si>
  <si>
    <t xml:space="preserve">f Petukhov
(target)</t>
  </si>
  <si>
    <t xml:space="preserve">Nu Gnielinski
(target)</t>
  </si>
  <si>
    <t xml:space="preserve">Nu Dittus-
Boelter (ref.)</t>
  </si>
  <si>
    <t xml:space="preserve">Nu CFD
(fill in)</t>
  </si>
  <si>
    <t xml:space="preserve">Nu dev.
%</t>
  </si>
  <si>
    <t xml:space="preserve">f CFD
(fill in)</t>
  </si>
  <si>
    <t xml:space="preserve">f dev.
%</t>
  </si>
  <si>
    <t xml:space="preserve"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</si>
  <si>
    <t xml:space="preserve">Grid Convergence Index (Celik et al. 2008)</t>
  </si>
  <si>
    <t xml:space="preserve">Run your smooth-tube geometry at ALL THREE mesh levels (Mesh Levels sheet), at ONE fixed Re (recommended: 100,000, your y+ design point). Paste the resulting Nu and f into the yellow cells. Everything else computes automatically.</t>
  </si>
  <si>
    <t xml:space="preserve">Validation Re used for this mesh-independence study</t>
  </si>
  <si>
    <t xml:space="preserve">Raw Fluent Extraction (paste report values here -- Nu and f below compute automatically)</t>
  </si>
  <si>
    <t xml:space="preserve">Wall heat flux, q'' (W/m²) -- must match your Fluent Wall BC, same for every mesh level</t>
  </si>
  <si>
    <t xml:space="preserve">Fine (1)</t>
  </si>
  <si>
    <t xml:space="preserve">Medium (2)</t>
  </si>
  <si>
    <t xml:space="preserve">Coarse (3)</t>
  </si>
  <si>
    <t xml:space="preserve">Outlet bulk temperature, T_out (K)  --  PASTE from Fluent t_out report</t>
  </si>
  <si>
    <t xml:space="preserve">Wall temperature, T_wall (K)  --  PASTE from Fluent t_wall report</t>
  </si>
  <si>
    <t xml:space="preserve">Inlet pressure, p_in (Pa)  --  PASTE from Fluent p_inlet report</t>
  </si>
  <si>
    <t xml:space="preserve">Outlet pressure, p_out (Pa)  --  PASTE from Fluent p_out report</t>
  </si>
  <si>
    <t xml:space="preserve">Bulk temperature, Tb = (T_in + T_out) / 2  (K)</t>
  </si>
  <si>
    <t xml:space="preserve">Heat transfer coefficient, h = q'' / (T_wall - Tb)  (W/m²·K)</t>
  </si>
  <si>
    <t xml:space="preserve">Nu = h · D / k</t>
  </si>
  <si>
    <t xml:space="preserve">Pressure drop, ΔP = p_in - p_out  (Pa)</t>
  </si>
  <si>
    <t xml:space="preserve">f = 2 · ΔP · D / (L · ρ · V²)</t>
  </si>
  <si>
    <t xml:space="preserve">V here uses the Re=100,000 design velocity from YPlus Inflation (0.9567 m/s) -- correct as long as this GCI study is run at Re=100,000 (row 5 above). ρ and k come from Fluid Properties at Tb=500K.</t>
  </si>
  <si>
    <t xml:space="preserve">Nusselt Number (Nu) Mesh Independence</t>
  </si>
  <si>
    <t xml:space="preserve">Representative cell size, h (mm)</t>
  </si>
  <si>
    <t xml:space="preserve">Nu result  --  auto-computed from Raw Fluent Extraction above</t>
  </si>
  <si>
    <t xml:space="preserve">r21 = h2/h1  (medium/fine)</t>
  </si>
  <si>
    <t xml:space="preserve">r32 = h3/h2  (coarse/medium)</t>
  </si>
  <si>
    <t xml:space="preserve">ε21 = φ2 - φ1</t>
  </si>
  <si>
    <t xml:space="preserve">ε32 = φ3 - φ2</t>
  </si>
  <si>
    <t xml:space="preserve">Apparent order, p  =  ln|ε32/ε21| / ln(r)
(exact when r21≈r32, valid here by construction)</t>
  </si>
  <si>
    <t xml:space="preserve">Richardson-extrapolated value, φ_ext21 = (r21^p·φ1 - φ2) / (r21^p - 1)</t>
  </si>
  <si>
    <t xml:space="preserve">Approximate relative error, e_a21 = |(φ1-φ2)/φ1|</t>
  </si>
  <si>
    <t xml:space="preserve">Extrapolated relative error, e_ext21 = |(φ_ext21-φ1)/φ_ext21|</t>
  </si>
  <si>
    <t xml:space="preserve">GCI_fine (%) = 1.25 · e_a21 / (r21^p - 1) × 100</t>
  </si>
  <si>
    <t xml:space="preserve">Mesh-independent if GCI_fine &lt; ~1% (CLAUDE.md threshold) to ~2% (roadmap threshold). If it fails, your Fine mesh becomes the new Coarse and you add a finer 4th level.</t>
  </si>
  <si>
    <t xml:space="preserve">Friction Factor (f) Mesh Independence</t>
  </si>
  <si>
    <t xml:space="preserve">f result  --  auto-computed from Raw Fluent Extraction above</t>
  </si>
  <si>
    <t xml:space="preserve">Dudley et al. (SAND94-1884) — LS-2 Table D-1 Validation</t>
  </si>
  <si>
    <t xml:space="preserve">Receiver-scale (not smooth-tube hydrodynamic) validation. Reproduces the 9 measured cermet/vacuum test cases from reference-data/dudley_table_d1.md. Aperture area A_a = 39.2 m² -- NOT tube surface area (flagged as a common mistake in your own notes).</t>
  </si>
  <si>
    <t xml:space="preserve">Aperture area, A_a (m²)</t>
  </si>
  <si>
    <t xml:space="preserve">Case</t>
  </si>
  <si>
    <t xml:space="preserve">DNI
(W/m²)</t>
  </si>
  <si>
    <t xml:space="preserve">Wind
(m/s)</t>
  </si>
  <si>
    <t xml:space="preserve">Tin
(°C)</t>
  </si>
  <si>
    <t xml:space="preserve">Flow
(L/min)</t>
  </si>
  <si>
    <t xml:space="preserve">Tout meas.
(°C)</t>
  </si>
  <si>
    <t xml:space="preserve">η_th meas.
(%)</t>
  </si>
  <si>
    <t xml:space="preserve">Tout CFD
(fill in)</t>
  </si>
  <si>
    <t xml:space="preserve">η_th CFD
(fill in)</t>
  </si>
  <si>
    <t xml:space="preserve">dev. %</t>
  </si>
  <si>
    <t xml:space="preserve"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</si>
  <si>
    <t xml:space="preserve">L27 Taguchi Production Run Log</t>
  </si>
  <si>
    <t xml:space="preserve"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</si>
  <si>
    <t xml:space="preserve">Plain-tube reference Nu_plain (same Re as production runs, fill in after validation)</t>
  </si>
  <si>
    <t xml:space="preserve">Plain-tube reference f_plain (same Re as production runs, fill in after validation)</t>
  </si>
  <si>
    <t xml:space="preserve">Run</t>
  </si>
  <si>
    <t xml:space="preserve">A
Pt/dti</t>
  </si>
  <si>
    <t xml:space="preserve">B
dpo/dti</t>
  </si>
  <si>
    <t xml:space="preserve">C
tp/dpo</t>
  </si>
  <si>
    <t xml:space="preserve">D
Nanofluid</t>
  </si>
  <si>
    <t xml:space="preserve">E
φ %</t>
  </si>
  <si>
    <t xml:space="preserve">Pt
(mm)</t>
  </si>
  <si>
    <t xml:space="preserve">dpo
(mm)</t>
  </si>
  <si>
    <t xml:space="preserve">tp
(mm)</t>
  </si>
  <si>
    <t xml:space="preserve">dpi
(mm)</t>
  </si>
  <si>
    <t xml:space="preserve">Nu
(fill in)</t>
  </si>
  <si>
    <t xml:space="preserve">f
(fill in)</t>
  </si>
  <si>
    <t xml:space="preserve">PEC</t>
  </si>
  <si>
    <t xml:space="preserve">ΔP (Pa)
(fill in)</t>
  </si>
  <si>
    <t xml:space="preserve">Tout (K)
(fill in)</t>
  </si>
  <si>
    <t xml:space="preserve">Twall,max (K)
(fill in)</t>
  </si>
  <si>
    <t xml:space="preserve">Iterations
(fill in)</t>
  </si>
  <si>
    <t xml:space="preserve">Fe2O3-GO</t>
  </si>
  <si>
    <t xml:space="preserve">Al2O3-MWCNT</t>
  </si>
  <si>
    <t xml:space="preserve">Ag-MgO</t>
  </si>
  <si>
    <t xml:space="preserve">Each factor level appears exactly 9 times across the 27 runs (Taguchi orthogonal balance) -- do not reorder or edit the factor columns. PEC = (Nu/Nu_plain) / (f/f_plain)^(1/3): PEC &gt; 1 means the enhancement is worth its friction penalty.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</si>
</sst>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E+00"/>
    <numFmt numFmtId="167" formatCode="0.00"/>
    <numFmt numFmtId="168" formatCode="0.0000"/>
    <numFmt numFmtId="169" formatCode="0.000000"/>
    <numFmt numFmtId="170" formatCode="0.000"/>
    <numFmt numFmtId="171" formatCode="0.0%"/>
    <numFmt numFmtId="172" formatCode="0"/>
    <numFmt numFmtId="173" formatCode="#,##0"/>
    <numFmt numFmtId="174" formatCode="0.00000"/>
    <numFmt numFmtId="175" formatCode="0.00%"/>
    <numFmt numFmtId="17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0"/>
  </cols>
  <sheetData>
    <row r="2" customFormat="false" ht="17.25" hidden="false" customHeight="true" outlineLevel="0" collapsed="false">
      <c r="B2" s="2" t="s">
        <v>0</v>
      </c>
    </row>
    <row r="3" customFormat="false" ht="15" hidden="false" customHeight="true" outlineLevel="0" collapsed="false">
      <c r="B3" s="3" t="s">
        <v>1</v>
      </c>
    </row>
    <row r="6" customFormat="false" ht="15" hidden="false" customHeight="true" outlineLevel="0" collapsed="false">
      <c r="B6" s="4" t="s">
        <v>2</v>
      </c>
    </row>
    <row r="7" customFormat="false" ht="15" hidden="false" customHeight="true" outlineLevel="0" collapsed="false">
      <c r="B7" s="4" t="s">
        <v>3</v>
      </c>
    </row>
    <row r="8" customFormat="false" ht="45" hidden="false" customHeight="true" outlineLevel="0" collapsed="false">
      <c r="B8" s="5" t="s">
        <v>4</v>
      </c>
    </row>
    <row r="10" customFormat="false" ht="15" hidden="false" customHeight="true" outlineLevel="0" collapsed="false">
      <c r="B10" s="4" t="s">
        <v>5</v>
      </c>
    </row>
    <row r="11" customFormat="false" ht="45" hidden="false" customHeight="true" outlineLevel="0" collapsed="false">
      <c r="B11" s="5" t="s">
        <v>6</v>
      </c>
    </row>
    <row r="13" customFormat="false" ht="15" hidden="false" customHeight="true" outlineLevel="0" collapsed="false">
      <c r="B13" s="4" t="s">
        <v>7</v>
      </c>
    </row>
    <row r="14" customFormat="false" ht="45" hidden="false" customHeight="true" outlineLevel="0" collapsed="false">
      <c r="B14" s="5" t="s">
        <v>8</v>
      </c>
    </row>
    <row r="16" customFormat="false" ht="15" hidden="false" customHeight="true" outlineLevel="0" collapsed="false">
      <c r="B16" s="4" t="s">
        <v>9</v>
      </c>
    </row>
    <row r="17" customFormat="false" ht="45" hidden="false" customHeight="true" outlineLevel="0" collapsed="false">
      <c r="B17" s="5" t="s">
        <v>10</v>
      </c>
    </row>
    <row r="19" customFormat="false" ht="15" hidden="false" customHeight="true" outlineLevel="0" collapsed="false">
      <c r="B19" s="4" t="s">
        <v>11</v>
      </c>
    </row>
    <row r="20" customFormat="false" ht="45" hidden="false" customHeight="true" outlineLevel="0" collapsed="false">
      <c r="B20" s="5" t="s">
        <v>12</v>
      </c>
    </row>
    <row r="22" customFormat="false" ht="15" hidden="false" customHeight="true" outlineLevel="0" collapsed="false">
      <c r="B22" s="4" t="s">
        <v>13</v>
      </c>
    </row>
    <row r="23" customFormat="false" ht="45" hidden="false" customHeight="true" outlineLevel="0" collapsed="false">
      <c r="B23" s="5" t="s">
        <v>14</v>
      </c>
    </row>
    <row r="25" customFormat="false" ht="15" hidden="false" customHeight="true" outlineLevel="0" collapsed="false">
      <c r="B25" s="4" t="s">
        <v>15</v>
      </c>
    </row>
    <row r="26" customFormat="false" ht="45" hidden="false" customHeight="true" outlineLevel="0" collapsed="false">
      <c r="B26" s="5" t="s">
        <v>16</v>
      </c>
    </row>
    <row r="28" customFormat="false" ht="15" hidden="false" customHeight="true" outlineLevel="0" collapsed="false">
      <c r="B28" s="4" t="s">
        <v>17</v>
      </c>
    </row>
    <row r="29" customFormat="false" ht="45" hidden="false" customHeight="true" outlineLevel="0" collapsed="false">
      <c r="B29" s="5" t="s">
        <v>18</v>
      </c>
    </row>
    <row r="32" customFormat="false" ht="15" hidden="false" customHeight="true" outlineLevel="0" collapsed="false">
      <c r="B32" s="6" t="s">
        <v>19</v>
      </c>
    </row>
    <row r="33" customFormat="false" ht="15" hidden="false" customHeight="true" outlineLevel="0" collapsed="false">
      <c r="B33" s="4" t="s">
        <v>20</v>
      </c>
    </row>
    <row r="34" customFormat="false" ht="45" hidden="false" customHeight="true" outlineLevel="0" collapsed="false">
      <c r="B34" s="5" t="s">
        <v>21</v>
      </c>
    </row>
    <row r="36" customFormat="false" ht="15" hidden="false" customHeight="true" outlineLevel="0" collapsed="false">
      <c r="B36" s="4" t="s">
        <v>22</v>
      </c>
    </row>
    <row r="37" customFormat="false" ht="45" hidden="false" customHeight="true" outlineLevel="0" collapsed="false">
      <c r="B37" s="5" t="s">
        <v>23</v>
      </c>
    </row>
    <row r="39" customFormat="false" ht="15" hidden="false" customHeight="true" outlineLevel="0" collapsed="false">
      <c r="B39" s="4" t="s">
        <v>24</v>
      </c>
    </row>
    <row r="40" customFormat="false" ht="45" hidden="false" customHeight="true" outlineLevel="0" collapsed="false">
      <c r="B40" s="5" t="s">
        <v>25</v>
      </c>
    </row>
    <row r="42" customFormat="false" ht="15" hidden="false" customHeight="true" outlineLevel="0" collapsed="false">
      <c r="B42" s="4" t="s">
        <v>26</v>
      </c>
    </row>
    <row r="43" customFormat="false" ht="45" hidden="false" customHeight="true" outlineLevel="0" collapsed="false">
      <c r="B43" s="5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5"/>
    <col collapsed="false" customWidth="true" hidden="false" outlineLevel="0" max="3" min="3" style="1" width="14"/>
    <col collapsed="false" customWidth="true" hidden="false" outlineLevel="0" max="4" min="4" style="1" width="12"/>
    <col collapsed="false" customWidth="true" hidden="false" outlineLevel="0" max="5" min="5" style="1" width="60"/>
  </cols>
  <sheetData>
    <row r="2" customFormat="false" ht="17.25" hidden="false" customHeight="true" outlineLevel="0" collapsed="false">
      <c r="B2" s="2" t="s">
        <v>28</v>
      </c>
    </row>
    <row r="3" customFormat="false" ht="15" hidden="false" customHeight="true" outlineLevel="0" collapsed="false">
      <c r="B3" s="3" t="s">
        <v>29</v>
      </c>
    </row>
    <row r="5" customFormat="false" ht="30" hidden="false" customHeight="true" outlineLevel="0" collapsed="false">
      <c r="B5" s="7" t="s">
        <v>30</v>
      </c>
      <c r="C5" s="7" t="s">
        <v>31</v>
      </c>
      <c r="D5" s="7" t="s">
        <v>32</v>
      </c>
      <c r="E5" s="7" t="s">
        <v>33</v>
      </c>
    </row>
    <row r="6" customFormat="false" ht="15" hidden="false" customHeight="true" outlineLevel="0" collapsed="false">
      <c r="B6" s="8" t="s">
        <v>34</v>
      </c>
      <c r="C6" s="9" t="n">
        <v>0.066</v>
      </c>
      <c r="D6" s="10" t="s">
        <v>35</v>
      </c>
      <c r="E6" s="5" t="s">
        <v>36</v>
      </c>
    </row>
    <row r="7" customFormat="false" ht="15" hidden="false" customHeight="true" outlineLevel="0" collapsed="false">
      <c r="B7" s="8" t="s">
        <v>37</v>
      </c>
      <c r="C7" s="9" t="n">
        <v>4</v>
      </c>
      <c r="D7" s="10" t="s">
        <v>35</v>
      </c>
      <c r="E7" s="5" t="s">
        <v>38</v>
      </c>
    </row>
    <row r="8" customFormat="false" ht="15" hidden="false" customHeight="true" outlineLevel="0" collapsed="false">
      <c r="B8" s="8" t="s">
        <v>39</v>
      </c>
      <c r="C8" s="9" t="n">
        <v>5000</v>
      </c>
      <c r="D8" s="10" t="s">
        <v>40</v>
      </c>
      <c r="E8" s="5" t="s">
        <v>41</v>
      </c>
    </row>
    <row r="9" customFormat="false" ht="15" hidden="false" customHeight="true" outlineLevel="0" collapsed="false">
      <c r="B9" s="8" t="s">
        <v>42</v>
      </c>
      <c r="C9" s="9" t="n">
        <v>100000</v>
      </c>
      <c r="D9" s="10" t="s">
        <v>40</v>
      </c>
      <c r="E9" s="5" t="s">
        <v>43</v>
      </c>
    </row>
    <row r="10" customFormat="false" ht="15" hidden="false" customHeight="true" outlineLevel="0" collapsed="false">
      <c r="B10" s="8" t="s">
        <v>44</v>
      </c>
      <c r="C10" s="9" t="n">
        <v>500</v>
      </c>
      <c r="D10" s="10" t="s">
        <v>45</v>
      </c>
      <c r="E10" s="5" t="s">
        <v>46</v>
      </c>
    </row>
    <row r="11" customFormat="false" ht="15" hidden="false" customHeight="true" outlineLevel="0" collapsed="false">
      <c r="B11" s="8" t="s">
        <v>47</v>
      </c>
      <c r="C11" s="9" t="n">
        <v>1</v>
      </c>
      <c r="D11" s="10" t="s">
        <v>40</v>
      </c>
      <c r="E11" s="5" t="s">
        <v>48</v>
      </c>
    </row>
    <row r="12" customFormat="false" ht="15" hidden="false" customHeight="true" outlineLevel="0" collapsed="false">
      <c r="B12" s="8" t="s">
        <v>49</v>
      </c>
      <c r="C12" s="9" t="n">
        <v>1.2</v>
      </c>
      <c r="D12" s="10" t="s">
        <v>40</v>
      </c>
      <c r="E12" s="5" t="s">
        <v>50</v>
      </c>
    </row>
    <row r="13" customFormat="false" ht="15" hidden="false" customHeight="true" outlineLevel="0" collapsed="false">
      <c r="B13" s="8" t="s">
        <v>51</v>
      </c>
      <c r="C13" s="9" t="n">
        <v>20</v>
      </c>
      <c r="D13" s="10" t="s">
        <v>40</v>
      </c>
      <c r="E13" s="5" t="s">
        <v>52</v>
      </c>
    </row>
    <row r="14" customFormat="false" ht="15" hidden="false" customHeight="true" outlineLevel="0" collapsed="false">
      <c r="B14" s="8" t="s">
        <v>53</v>
      </c>
      <c r="C14" s="9" t="n">
        <v>1.5</v>
      </c>
      <c r="D14" s="10" t="s">
        <v>40</v>
      </c>
      <c r="E14" s="5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4" min="2" style="1" width="14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3"/>
    <col collapsed="false" customWidth="true" hidden="false" outlineLevel="0" max="9" min="9" style="1" width="30"/>
    <col collapsed="false" customWidth="true" hidden="false" outlineLevel="0" max="10" min="10" style="1" width="16"/>
  </cols>
  <sheetData>
    <row r="2" customFormat="false" ht="17.25" hidden="false" customHeight="true" outlineLevel="0" collapsed="false">
      <c r="B2" s="2" t="s">
        <v>55</v>
      </c>
    </row>
    <row r="3" customFormat="false" ht="45" hidden="false" customHeight="true" outlineLevel="0" collapsed="false">
      <c r="B3" s="11" t="s">
        <v>56</v>
      </c>
      <c r="C3" s="11"/>
      <c r="D3" s="11"/>
      <c r="E3" s="11"/>
      <c r="F3" s="11"/>
      <c r="G3" s="11"/>
    </row>
    <row r="5" customFormat="false" ht="30" hidden="false" customHeight="true" outlineLevel="0" collapsed="false">
      <c r="B5" s="7" t="s">
        <v>57</v>
      </c>
      <c r="C5" s="7" t="s">
        <v>58</v>
      </c>
      <c r="D5" s="7" t="s">
        <v>59</v>
      </c>
      <c r="E5" s="7" t="s">
        <v>60</v>
      </c>
      <c r="F5" s="7" t="s">
        <v>61</v>
      </c>
      <c r="G5" s="7" t="s">
        <v>62</v>
      </c>
    </row>
    <row r="6" customFormat="false" ht="15" hidden="false" customHeight="true" outlineLevel="0" collapsed="false">
      <c r="B6" s="12" t="n">
        <v>0</v>
      </c>
      <c r="C6" s="10" t="n">
        <f aca="false">B6+273.15</f>
        <v>273.15</v>
      </c>
      <c r="D6" s="12" t="n">
        <v>943</v>
      </c>
      <c r="E6" s="12" t="n">
        <v>9.4</v>
      </c>
      <c r="F6" s="12" t="n">
        <v>0.135</v>
      </c>
      <c r="G6" s="12" t="n">
        <v>1.53</v>
      </c>
    </row>
    <row r="7" customFormat="false" ht="15" hidden="false" customHeight="true" outlineLevel="0" collapsed="false">
      <c r="B7" s="12" t="n">
        <v>100</v>
      </c>
      <c r="C7" s="10" t="n">
        <f aca="false">B7+273.15</f>
        <v>373.15</v>
      </c>
      <c r="D7" s="12" t="n">
        <v>868</v>
      </c>
      <c r="E7" s="12" t="n">
        <v>1.75</v>
      </c>
      <c r="F7" s="12" t="n">
        <v>0.123</v>
      </c>
      <c r="G7" s="12" t="n">
        <v>1.72</v>
      </c>
    </row>
    <row r="8" customFormat="false" ht="15" hidden="false" customHeight="true" outlineLevel="0" collapsed="false">
      <c r="B8" s="12" t="n">
        <v>200</v>
      </c>
      <c r="C8" s="10" t="n">
        <f aca="false">B8+273.15</f>
        <v>473.15</v>
      </c>
      <c r="D8" s="12" t="n">
        <v>792</v>
      </c>
      <c r="E8" s="12" t="n">
        <v>0.72</v>
      </c>
      <c r="F8" s="12" t="n">
        <v>0.111</v>
      </c>
      <c r="G8" s="12" t="n">
        <v>1.92</v>
      </c>
    </row>
    <row r="9" customFormat="false" ht="15" hidden="false" customHeight="true" outlineLevel="0" collapsed="false">
      <c r="B9" s="12" t="n">
        <v>300</v>
      </c>
      <c r="C9" s="10" t="n">
        <f aca="false">B9+273.15</f>
        <v>573.15</v>
      </c>
      <c r="D9" s="12" t="n">
        <v>715</v>
      </c>
      <c r="E9" s="12" t="n">
        <v>0.39</v>
      </c>
      <c r="F9" s="12" t="n">
        <v>0.099</v>
      </c>
      <c r="G9" s="12" t="n">
        <v>2.14</v>
      </c>
    </row>
    <row r="10" customFormat="false" ht="15" hidden="false" customHeight="true" outlineLevel="0" collapsed="false">
      <c r="B10" s="12" t="n">
        <v>400</v>
      </c>
      <c r="C10" s="10" t="n">
        <f aca="false">B10+273.15</f>
        <v>673.15</v>
      </c>
      <c r="D10" s="12" t="n">
        <v>631</v>
      </c>
      <c r="E10" s="12" t="n">
        <v>0.24</v>
      </c>
      <c r="F10" s="12" t="n">
        <v>0.087</v>
      </c>
      <c r="G10" s="12" t="n">
        <v>2.38</v>
      </c>
    </row>
    <row r="12" customFormat="false" ht="15" hidden="false" customHeight="true" outlineLevel="0" collapsed="false">
      <c r="B12" s="13" t="s">
        <v>63</v>
      </c>
      <c r="C12" s="13"/>
      <c r="D12" s="13"/>
      <c r="E12" s="13"/>
      <c r="F12" s="13"/>
      <c r="G12" s="13"/>
    </row>
    <row r="14" customFormat="false" ht="15" hidden="false" customHeight="true" outlineLevel="0" collapsed="false">
      <c r="B14" s="14" t="s">
        <v>64</v>
      </c>
      <c r="C14" s="14"/>
      <c r="D14" s="14"/>
      <c r="E14" s="14"/>
      <c r="F14" s="14"/>
      <c r="G14" s="14"/>
    </row>
    <row r="15" customFormat="false" ht="15" hidden="false" customHeight="true" outlineLevel="0" collapsed="false">
      <c r="B15" s="8" t="s">
        <v>65</v>
      </c>
      <c r="C15" s="15" t="n">
        <f aca="false">Inputs!$C$10</f>
        <v>500</v>
      </c>
    </row>
    <row r="16" customFormat="false" ht="15" hidden="false" customHeight="true" outlineLevel="0" collapsed="false">
      <c r="B16" s="8" t="s">
        <v>66</v>
      </c>
      <c r="C16" s="10" t="n">
        <f aca="false">C15-273.15</f>
        <v>226.85</v>
      </c>
    </row>
    <row r="17" customFormat="false" ht="15" hidden="false" customHeight="true" outlineLevel="0" collapsed="false">
      <c r="B17" s="8" t="s">
        <v>67</v>
      </c>
      <c r="C17" s="10" t="n">
        <f aca="true">FORECAST(C16,OFFSET($D$6,MATCH(C16,$B$6:$B$10,1)-1,0,2,1),OFFSET($B$6,MATCH(C16,$B$6:$B$10,1)-1,0,2,1))</f>
        <v>771.3255</v>
      </c>
    </row>
    <row r="18" customFormat="false" ht="15" hidden="false" customHeight="true" outlineLevel="0" collapsed="false">
      <c r="B18" s="8" t="s">
        <v>68</v>
      </c>
      <c r="C18" s="10" t="n">
        <f aca="true">FORECAST(C16,OFFSET($E$6,MATCH(C16,$B$6:$B$10,1)-1,0,2,1),OFFSET($B$6,MATCH(C16,$B$6:$B$10,1)-1,0,2,1))</f>
        <v>0.631395</v>
      </c>
    </row>
    <row r="19" customFormat="false" ht="15" hidden="false" customHeight="true" outlineLevel="0" collapsed="false">
      <c r="B19" s="8" t="s">
        <v>69</v>
      </c>
      <c r="C19" s="10" t="n">
        <f aca="true">FORECAST(C16,OFFSET($F$6,MATCH(C16,$B$6:$B$10,1)-1,0,2,1),OFFSET($B$6,MATCH(C16,$B$6:$B$10,1)-1,0,2,1))</f>
        <v>0.107778</v>
      </c>
    </row>
    <row r="20" customFormat="false" ht="15" hidden="false" customHeight="true" outlineLevel="0" collapsed="false">
      <c r="B20" s="8" t="s">
        <v>70</v>
      </c>
      <c r="C20" s="10" t="n">
        <f aca="true">FORECAST(C16,OFFSET($G$6,MATCH(C16,$B$6:$B$10,1)-1,0,2,1),OFFSET($B$6,MATCH(C16,$B$6:$B$10,1)-1,0,2,1))</f>
        <v>1.97907</v>
      </c>
    </row>
    <row r="21" customFormat="false" ht="15" hidden="false" customHeight="true" outlineLevel="0" collapsed="false">
      <c r="B21" s="8" t="s">
        <v>71</v>
      </c>
      <c r="C21" s="10" t="n">
        <f aca="false">C18*0.000001*C17</f>
        <v>0.0004870110640725</v>
      </c>
    </row>
    <row r="22" customFormat="false" ht="15" hidden="false" customHeight="true" outlineLevel="0" collapsed="false">
      <c r="B22" s="8" t="s">
        <v>72</v>
      </c>
      <c r="C22" s="10" t="n">
        <f aca="false">C18*0.000001</f>
        <v>6.31395E-007</v>
      </c>
    </row>
    <row r="23" customFormat="false" ht="15" hidden="false" customHeight="true" outlineLevel="0" collapsed="false">
      <c r="B23" s="8" t="s">
        <v>73</v>
      </c>
      <c r="C23" s="10" t="n">
        <f aca="false">C20*1000</f>
        <v>1979.07</v>
      </c>
    </row>
    <row r="24" customFormat="false" ht="15" hidden="false" customHeight="true" outlineLevel="0" collapsed="false">
      <c r="B24" s="4" t="s">
        <v>74</v>
      </c>
      <c r="C24" s="16" t="n">
        <f aca="false">C23*C21/C19</f>
        <v>8.94272473578989</v>
      </c>
    </row>
  </sheetData>
  <mergeCells count="3">
    <mergeCell ref="B3:G3"/>
    <mergeCell ref="B12:G12"/>
    <mergeCell ref="B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3" min="3" style="1" width="18"/>
    <col collapsed="false" customWidth="true" hidden="false" outlineLevel="0" max="4" min="4" style="1" width="22"/>
  </cols>
  <sheetData>
    <row r="2" customFormat="false" ht="17.25" hidden="false" customHeight="true" outlineLevel="0" collapsed="false">
      <c r="B2" s="2" t="s">
        <v>75</v>
      </c>
    </row>
    <row r="3" customFormat="false" ht="27.75" hidden="false" customHeight="true" outlineLevel="0" collapsed="false">
      <c r="B3" s="13" t="s">
        <v>76</v>
      </c>
      <c r="C3" s="13"/>
      <c r="D3" s="13"/>
    </row>
    <row r="5" customFormat="false" ht="30" hidden="false" customHeight="true" outlineLevel="0" collapsed="false">
      <c r="B5" s="7" t="s">
        <v>30</v>
      </c>
      <c r="C5" s="7" t="s">
        <v>77</v>
      </c>
      <c r="D5" s="7" t="s">
        <v>78</v>
      </c>
    </row>
    <row r="6" customFormat="false" ht="15" hidden="false" customHeight="true" outlineLevel="0" collapsed="false">
      <c r="B6" s="5" t="s">
        <v>79</v>
      </c>
      <c r="C6" s="15" t="n">
        <f aca="false">Inputs!$C$8</f>
        <v>5000</v>
      </c>
      <c r="D6" s="15" t="n">
        <f aca="false">Inputs!$C$9</f>
        <v>100000</v>
      </c>
    </row>
    <row r="7" customFormat="false" ht="15" hidden="false" customHeight="true" outlineLevel="0" collapsed="false">
      <c r="B7" s="5" t="s">
        <v>80</v>
      </c>
      <c r="C7" s="15" t="n">
        <f aca="false">Inputs!$C$6</f>
        <v>0.066</v>
      </c>
      <c r="D7" s="15" t="n">
        <f aca="false">Inputs!$C$6</f>
        <v>0.066</v>
      </c>
    </row>
    <row r="8" customFormat="false" ht="15" hidden="false" customHeight="true" outlineLevel="0" collapsed="false">
      <c r="B8" s="5" t="s">
        <v>81</v>
      </c>
      <c r="C8" s="17" t="n">
        <f aca="false">'Fluid Properties'!$C$22</f>
        <v>6.31395E-007</v>
      </c>
      <c r="D8" s="17" t="n">
        <f aca="false">'Fluid Properties'!$C$22</f>
        <v>6.31395E-007</v>
      </c>
    </row>
    <row r="9" customFormat="false" ht="15" hidden="false" customHeight="true" outlineLevel="0" collapsed="false">
      <c r="B9" s="5" t="s">
        <v>82</v>
      </c>
      <c r="C9" s="18" t="n">
        <f aca="false">'Fluid Properties'!$C$17</f>
        <v>771.3255</v>
      </c>
      <c r="D9" s="18" t="n">
        <f aca="false">'Fluid Properties'!$C$17</f>
        <v>771.3255</v>
      </c>
    </row>
    <row r="10" customFormat="false" ht="15" hidden="false" customHeight="true" outlineLevel="0" collapsed="false">
      <c r="B10" s="5" t="s">
        <v>83</v>
      </c>
      <c r="C10" s="19" t="n">
        <f aca="false">C6*C8/C7</f>
        <v>0.0478329545454545</v>
      </c>
      <c r="D10" s="19" t="n">
        <f aca="false">D6*D8/D7</f>
        <v>0.956659090909091</v>
      </c>
    </row>
    <row r="11" customFormat="false" ht="15" hidden="false" customHeight="true" outlineLevel="0" collapsed="false">
      <c r="B11" s="5" t="s">
        <v>84</v>
      </c>
      <c r="C11" s="19" t="n">
        <f aca="false">(0.79*LN(C6)-1.64)^-2</f>
        <v>0.038619472656874</v>
      </c>
      <c r="D11" s="19" t="n">
        <f aca="false">(0.79*LN(D6)-1.64)^-2</f>
        <v>0.0179920275442123</v>
      </c>
    </row>
    <row r="12" customFormat="false" ht="15" hidden="false" customHeight="true" outlineLevel="0" collapsed="false">
      <c r="B12" s="5" t="s">
        <v>85</v>
      </c>
      <c r="C12" s="19" t="n">
        <f aca="false">(C11/8)*C9*C10^2</f>
        <v>0.00851938914127876</v>
      </c>
      <c r="D12" s="19" t="n">
        <f aca="false">(D11/8)*D9*D10^2</f>
        <v>1.58760411310244</v>
      </c>
    </row>
    <row r="13" customFormat="false" ht="15" hidden="false" customHeight="true" outlineLevel="0" collapsed="false">
      <c r="B13" s="5" t="s">
        <v>86</v>
      </c>
      <c r="C13" s="20" t="n">
        <f aca="false">SQRT(C12/C9)</f>
        <v>0.00332342118041285</v>
      </c>
      <c r="D13" s="20" t="n">
        <f aca="false">SQRT(D12/D9)</f>
        <v>0.0453682746081751</v>
      </c>
    </row>
    <row r="14" customFormat="false" ht="15" hidden="false" customHeight="true" outlineLevel="0" collapsed="false">
      <c r="B14" s="5" t="s">
        <v>87</v>
      </c>
      <c r="C14" s="21" t="n">
        <f aca="false">Inputs!$C$11*C8/C13</f>
        <v>0.00018998344348325</v>
      </c>
      <c r="D14" s="21" t="n">
        <f aca="false">Inputs!$C$11*D8/D13</f>
        <v>1.39171040876707E-005</v>
      </c>
    </row>
    <row r="15" customFormat="false" ht="15" hidden="false" customHeight="true" outlineLevel="0" collapsed="false">
      <c r="B15" s="5" t="s">
        <v>88</v>
      </c>
      <c r="C15" s="20" t="n">
        <f aca="false">C14*1000</f>
        <v>0.18998344348325</v>
      </c>
      <c r="D15" s="20" t="n">
        <f aca="false">D14*1000</f>
        <v>0.0139171040876707</v>
      </c>
    </row>
    <row r="16" customFormat="false" ht="15" hidden="false" customHeight="true" outlineLevel="0" collapsed="false">
      <c r="B16" s="5" t="s">
        <v>89</v>
      </c>
      <c r="C16" s="22" t="n">
        <f aca="false">C14*1000000</f>
        <v>189.98344348325</v>
      </c>
      <c r="D16" s="22" t="n">
        <f aca="false">D14*1000000</f>
        <v>13.9171040876707</v>
      </c>
    </row>
    <row r="19" customFormat="false" ht="15" hidden="false" customHeight="true" outlineLevel="0" collapsed="false">
      <c r="B19" s="23" t="s">
        <v>90</v>
      </c>
      <c r="C19" s="23"/>
      <c r="D19" s="23"/>
    </row>
    <row r="20" customFormat="false" ht="15" hidden="false" customHeight="true" outlineLevel="0" collapsed="false">
      <c r="B20" s="8" t="s">
        <v>91</v>
      </c>
      <c r="C20" s="24" t="n">
        <f aca="false">D15</f>
        <v>0.0139171040876707</v>
      </c>
    </row>
    <row r="21" customFormat="false" ht="15" hidden="false" customHeight="true" outlineLevel="0" collapsed="false">
      <c r="B21" s="8" t="s">
        <v>92</v>
      </c>
      <c r="C21" s="25" t="n">
        <f aca="false">C20*1000</f>
        <v>13.9171040876707</v>
      </c>
    </row>
    <row r="22" customFormat="false" ht="15" hidden="false" customHeight="true" outlineLevel="0" collapsed="false">
      <c r="B22" s="8" t="s">
        <v>93</v>
      </c>
      <c r="C22" s="26" t="n">
        <f aca="false">Inputs!$C$12</f>
        <v>1.2</v>
      </c>
    </row>
    <row r="23" customFormat="false" ht="15" hidden="false" customHeight="true" outlineLevel="0" collapsed="false">
      <c r="B23" s="8" t="s">
        <v>94</v>
      </c>
      <c r="C23" s="26" t="n">
        <f aca="false">Inputs!$C$13</f>
        <v>20</v>
      </c>
    </row>
    <row r="24" customFormat="false" ht="15" hidden="false" customHeight="true" outlineLevel="0" collapsed="false">
      <c r="B24" s="8" t="s">
        <v>95</v>
      </c>
      <c r="C24" s="27" t="n">
        <f aca="false">C20*(C22^C23-1)/(C22-1)</f>
        <v>2.5981563226636</v>
      </c>
    </row>
    <row r="25" customFormat="false" ht="15" hidden="false" customHeight="true" outlineLevel="0" collapsed="false">
      <c r="B25" s="8" t="s">
        <v>96</v>
      </c>
      <c r="C25" s="22" t="n">
        <f aca="false">Inputs!$C$6*1000/2</f>
        <v>33</v>
      </c>
    </row>
    <row r="26" customFormat="false" ht="15" hidden="false" customHeight="true" outlineLevel="0" collapsed="false">
      <c r="B26" s="8" t="s">
        <v>97</v>
      </c>
      <c r="C26" s="28" t="n">
        <f aca="false">C24/C25</f>
        <v>0.0787320097776848</v>
      </c>
    </row>
    <row r="28" customFormat="false" ht="60" hidden="false" customHeight="true" outlineLevel="0" collapsed="false">
      <c r="B28" s="13" t="s">
        <v>98</v>
      </c>
      <c r="C28" s="13"/>
      <c r="D28" s="13"/>
    </row>
  </sheetData>
  <mergeCells count="3">
    <mergeCell ref="B3:D3"/>
    <mergeCell ref="B19:D19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5" min="3" style="1" width="16"/>
  </cols>
  <sheetData>
    <row r="2" customFormat="false" ht="17.25" hidden="false" customHeight="true" outlineLevel="0" collapsed="false">
      <c r="B2" s="2" t="s">
        <v>99</v>
      </c>
    </row>
    <row r="3" customFormat="false" ht="39.75" hidden="false" customHeight="true" outlineLevel="0" collapsed="false">
      <c r="B3" s="13" t="s">
        <v>100</v>
      </c>
      <c r="C3" s="13"/>
      <c r="D3" s="13"/>
      <c r="E3" s="13"/>
    </row>
    <row r="5" customFormat="false" ht="15" hidden="false" customHeight="true" outlineLevel="0" collapsed="false">
      <c r="B5" s="8" t="s">
        <v>101</v>
      </c>
      <c r="C5" s="18" t="n">
        <f aca="false">Inputs!$C$14</f>
        <v>1.5</v>
      </c>
    </row>
    <row r="7" customFormat="false" ht="30" hidden="false" customHeight="true" outlineLevel="0" collapsed="false">
      <c r="B7" s="7" t="s">
        <v>30</v>
      </c>
      <c r="C7" s="7" t="s">
        <v>102</v>
      </c>
      <c r="D7" s="7" t="s">
        <v>103</v>
      </c>
      <c r="E7" s="7" t="s">
        <v>104</v>
      </c>
    </row>
    <row r="8" customFormat="false" ht="15" hidden="false" customHeight="true" outlineLevel="0" collapsed="false">
      <c r="B8" s="8" t="s">
        <v>105</v>
      </c>
      <c r="C8" s="12" t="n">
        <v>15</v>
      </c>
      <c r="D8" s="10" t="n">
        <f aca="false">ROUND(C8*$C$5,0)</f>
        <v>23</v>
      </c>
      <c r="E8" s="10" t="n">
        <f aca="false">ROUND(D8*$C$5,0)</f>
        <v>35</v>
      </c>
    </row>
    <row r="9" customFormat="false" ht="15" hidden="false" customHeight="true" outlineLevel="0" collapsed="false">
      <c r="B9" s="8" t="s">
        <v>106</v>
      </c>
      <c r="C9" s="12" t="n">
        <v>10</v>
      </c>
      <c r="D9" s="10" t="n">
        <f aca="false">ROUND(C9*$C$5,0)</f>
        <v>15</v>
      </c>
      <c r="E9" s="10" t="n">
        <f aca="false">ROUND(D9*$C$5,0)</f>
        <v>23</v>
      </c>
    </row>
    <row r="10" customFormat="false" ht="15" hidden="false" customHeight="true" outlineLevel="0" collapsed="false">
      <c r="B10" s="8" t="s">
        <v>107</v>
      </c>
      <c r="C10" s="12" t="n">
        <v>100</v>
      </c>
      <c r="D10" s="10" t="n">
        <f aca="false">ROUND(C10*$C$5,0)</f>
        <v>150</v>
      </c>
      <c r="E10" s="10" t="n">
        <f aca="false">ROUND(D10*$C$5,0)</f>
        <v>225</v>
      </c>
    </row>
    <row r="12" customFormat="false" ht="15" hidden="false" customHeight="true" outlineLevel="0" collapsed="false">
      <c r="B12" s="8" t="s">
        <v>108</v>
      </c>
      <c r="C12" s="22" t="n">
        <f aca="false">PI()*Inputs!$C$6*1000/C8</f>
        <v>13.8230076757951</v>
      </c>
      <c r="D12" s="22" t="n">
        <f aca="false">PI()*Inputs!$C$6*1000/D8</f>
        <v>9.01500500595332</v>
      </c>
      <c r="E12" s="22" t="n">
        <f aca="false">PI()*Inputs!$C$6*1000/E8</f>
        <v>5.92414614676932</v>
      </c>
    </row>
    <row r="13" customFormat="false" ht="15" hidden="false" customHeight="true" outlineLevel="0" collapsed="false">
      <c r="B13" s="8" t="s">
        <v>109</v>
      </c>
      <c r="C13" s="22" t="n">
        <f aca="false">Inputs!$C$7*1000/C10</f>
        <v>40</v>
      </c>
      <c r="D13" s="22" t="n">
        <f aca="false">Inputs!$C$7*1000/D10</f>
        <v>26.6666666666667</v>
      </c>
      <c r="E13" s="22" t="n">
        <f aca="false">Inputs!$C$7*1000/E10</f>
        <v>17.7777777777778</v>
      </c>
    </row>
    <row r="15" customFormat="false" ht="30" hidden="false" customHeight="true" outlineLevel="0" collapsed="false">
      <c r="B15" s="29" t="s">
        <v>110</v>
      </c>
      <c r="C15" s="29"/>
      <c r="D15" s="29"/>
      <c r="E15" s="29"/>
    </row>
    <row r="16" customFormat="false" ht="27.75" hidden="false" customHeight="true" outlineLevel="0" collapsed="false">
      <c r="B16" s="5" t="s">
        <v>111</v>
      </c>
      <c r="C16" s="30" t="n">
        <v>0.4</v>
      </c>
    </row>
    <row r="17" customFormat="false" ht="15" hidden="false" customHeight="true" outlineLevel="0" collapsed="false">
      <c r="B17" s="8" t="s">
        <v>112</v>
      </c>
      <c r="C17" s="22" t="n">
        <f aca="false">Inputs!$C$6*1000/2</f>
        <v>33</v>
      </c>
    </row>
    <row r="18" customFormat="false" ht="15" hidden="false" customHeight="true" outlineLevel="0" collapsed="false">
      <c r="B18" s="8" t="s">
        <v>113</v>
      </c>
      <c r="C18" s="22" t="n">
        <f aca="false">C16*C17</f>
        <v>13.2</v>
      </c>
    </row>
    <row r="19" customFormat="false" ht="15" hidden="false" customHeight="true" outlineLevel="0" collapsed="false">
      <c r="B19" s="8" t="s">
        <v>114</v>
      </c>
      <c r="C19" s="22" t="n">
        <f aca="false">C17-C18</f>
        <v>19.8</v>
      </c>
    </row>
    <row r="20" customFormat="false" ht="15" hidden="false" customHeight="true" outlineLevel="0" collapsed="false">
      <c r="B20" s="8" t="s">
        <v>115</v>
      </c>
      <c r="C20" s="19" t="n">
        <f aca="false">$C$19/C9</f>
        <v>1.98</v>
      </c>
      <c r="D20" s="19" t="n">
        <f aca="false">$C$19/D9</f>
        <v>1.32</v>
      </c>
      <c r="E20" s="19" t="n">
        <f aca="false">$C$19/E9</f>
        <v>0.860869565217391</v>
      </c>
    </row>
    <row r="21" customFormat="false" ht="60" hidden="false" customHeight="true" outlineLevel="0" collapsed="false">
      <c r="B21" s="13" t="s">
        <v>116</v>
      </c>
      <c r="C21" s="13"/>
      <c r="D21" s="13"/>
      <c r="E21" s="13"/>
    </row>
    <row r="23" customFormat="false" ht="15" hidden="false" customHeight="true" outlineLevel="0" collapsed="false">
      <c r="B23" s="23" t="s">
        <v>117</v>
      </c>
      <c r="C23" s="23"/>
      <c r="D23" s="23"/>
      <c r="E23" s="23"/>
    </row>
    <row r="24" customFormat="false" ht="15" hidden="false" customHeight="true" outlineLevel="0" collapsed="false">
      <c r="B24" s="8" t="s">
        <v>88</v>
      </c>
      <c r="C24" s="31" t="n">
        <f aca="false">'YPlus Inflation'!$C$20</f>
        <v>0.0139171040876707</v>
      </c>
      <c r="D24" s="31" t="n">
        <f aca="false">'YPlus Inflation'!$C$20</f>
        <v>0.0139171040876707</v>
      </c>
      <c r="E24" s="31" t="n">
        <f aca="false">'YPlus Inflation'!$C$20</f>
        <v>0.0139171040876707</v>
      </c>
    </row>
    <row r="25" customFormat="false" ht="15" hidden="false" customHeight="true" outlineLevel="0" collapsed="false">
      <c r="B25" s="8" t="s">
        <v>118</v>
      </c>
      <c r="C25" s="32" t="n">
        <f aca="false">'YPlus Inflation'!$C$22</f>
        <v>1.2</v>
      </c>
      <c r="D25" s="32" t="n">
        <f aca="false">'YPlus Inflation'!$C$22</f>
        <v>1.2</v>
      </c>
      <c r="E25" s="32" t="n">
        <f aca="false">'YPlus Inflation'!$C$22</f>
        <v>1.2</v>
      </c>
    </row>
    <row r="26" customFormat="false" ht="15" hidden="false" customHeight="true" outlineLevel="0" collapsed="false">
      <c r="B26" s="8" t="s">
        <v>51</v>
      </c>
      <c r="C26" s="33" t="n">
        <f aca="false">'YPlus Inflation'!$C$23</f>
        <v>20</v>
      </c>
      <c r="D26" s="33" t="n">
        <f aca="false">'YPlus Inflation'!$C$23</f>
        <v>20</v>
      </c>
      <c r="E26" s="33" t="n">
        <f aca="false">'YPlus Inflation'!$C$23</f>
        <v>20</v>
      </c>
    </row>
    <row r="28" customFormat="false" ht="30" hidden="false" customHeight="true" outlineLevel="0" collapsed="false">
      <c r="B28" s="5" t="s">
        <v>119</v>
      </c>
      <c r="C28" s="34" t="n">
        <f aca="false">C8*C10*(C9+C26)</f>
        <v>45000</v>
      </c>
      <c r="D28" s="34" t="n">
        <f aca="false">D8*D10*(D9+D26)</f>
        <v>120750</v>
      </c>
      <c r="E28" s="34" t="n">
        <f aca="false">E8*E10*(E9+E26)</f>
        <v>338625</v>
      </c>
    </row>
    <row r="29" customFormat="false" ht="30" hidden="false" customHeight="true" outlineLevel="0" collapsed="false">
      <c r="B29" s="5" t="s">
        <v>120</v>
      </c>
      <c r="C29" s="19" t="n">
        <f aca="false">(PI()/4*(Inputs!$C$6*1000)^2*(Inputs!$C$7*1000)/C28)^(1/3)</f>
        <v>6.72473347933769</v>
      </c>
      <c r="D29" s="19" t="n">
        <f aca="false">(PI()/4*(Inputs!$C$6*1000)^2*(Inputs!$C$7*1000)/D28)^(1/3)</f>
        <v>4.8393110188735</v>
      </c>
      <c r="E29" s="19" t="n">
        <f aca="false">(PI()/4*(Inputs!$C$6*1000)^2*(Inputs!$C$7*1000)/E28)^(1/3)</f>
        <v>3.43167571948627</v>
      </c>
    </row>
    <row r="31" customFormat="false" ht="75" hidden="false" customHeight="true" outlineLevel="0" collapsed="false">
      <c r="B31" s="13" t="s">
        <v>121</v>
      </c>
      <c r="C31" s="13"/>
      <c r="D31" s="13"/>
      <c r="E31" s="13"/>
    </row>
  </sheetData>
  <mergeCells count="5">
    <mergeCell ref="B3:E3"/>
    <mergeCell ref="B15:E15"/>
    <mergeCell ref="B21:E21"/>
    <mergeCell ref="B23:E23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10"/>
    <col collapsed="false" customWidth="true" hidden="false" outlineLevel="0" max="5" min="3" style="1" width="12"/>
    <col collapsed="false" customWidth="true" hidden="false" outlineLevel="0" max="6" min="6" style="1" width="16"/>
    <col collapsed="false" customWidth="true" hidden="false" outlineLevel="0" max="7" min="7" style="1" width="12"/>
    <col collapsed="false" customWidth="true" hidden="false" outlineLevel="0" max="8" min="8" style="1" width="16"/>
    <col collapsed="false" customWidth="true" hidden="false" outlineLevel="0" max="9" min="9" style="1" width="12"/>
    <col collapsed="false" customWidth="true" hidden="false" outlineLevel="0" max="10" min="10" style="1" width="3"/>
  </cols>
  <sheetData>
    <row r="2" customFormat="false" ht="17.25" hidden="false" customHeight="true" outlineLevel="0" collapsed="false">
      <c r="B2" s="2" t="s">
        <v>122</v>
      </c>
    </row>
    <row r="3" customFormat="false" ht="27.75" hidden="false" customHeight="true" outlineLevel="0" collapsed="false">
      <c r="B3" s="13" t="s">
        <v>123</v>
      </c>
      <c r="C3" s="13"/>
      <c r="D3" s="13"/>
      <c r="E3" s="13"/>
      <c r="F3" s="13"/>
      <c r="G3" s="13"/>
      <c r="H3" s="13"/>
      <c r="I3" s="13"/>
    </row>
    <row r="5" customFormat="false" ht="30" hidden="false" customHeight="true" outlineLevel="0" collapsed="false">
      <c r="B5" s="7" t="s">
        <v>79</v>
      </c>
      <c r="C5" s="7" t="s">
        <v>124</v>
      </c>
      <c r="D5" s="7" t="s">
        <v>125</v>
      </c>
      <c r="E5" s="7" t="s">
        <v>126</v>
      </c>
      <c r="F5" s="7" t="s">
        <v>127</v>
      </c>
      <c r="G5" s="7" t="s">
        <v>128</v>
      </c>
      <c r="H5" s="7" t="s">
        <v>129</v>
      </c>
      <c r="I5" s="7" t="s">
        <v>130</v>
      </c>
    </row>
    <row r="6" customFormat="false" ht="15" hidden="false" customHeight="true" outlineLevel="0" collapsed="false">
      <c r="B6" s="35" t="n">
        <v>5000</v>
      </c>
      <c r="C6" s="19" t="n">
        <f aca="false">(0.79*LN(B6)-1.64)^-2</f>
        <v>0.038619472656874</v>
      </c>
      <c r="D6" s="22" t="n">
        <f aca="false">(C6/8)*(B6-1000)*'Fluid Properties'!$C$24/(1+12.7*(C6/8)^0.5*('Fluid Properties'!$C$24^(2/3)-1))</f>
        <v>44.0594945523483</v>
      </c>
      <c r="E6" s="22" t="n">
        <f aca="false">0.023*B6^0.8*'Fluid Properties'!$C$24^0.4</f>
        <v>50.2911752463619</v>
      </c>
      <c r="F6" s="36"/>
      <c r="G6" s="37" t="str">
        <f aca="false">IF(F6="","",ABS(F6-D6)/D6)</f>
        <v/>
      </c>
      <c r="H6" s="36"/>
      <c r="I6" s="37" t="str">
        <f aca="false">IF(H6="","",ABS(H6-C6)/C6)</f>
        <v/>
      </c>
    </row>
    <row r="7" customFormat="false" ht="15" hidden="false" customHeight="true" outlineLevel="0" collapsed="false">
      <c r="B7" s="35" t="n">
        <v>7500</v>
      </c>
      <c r="C7" s="19" t="n">
        <f aca="false">(0.79*LN(B7)-1.64)^-2</f>
        <v>0.0341807892366533</v>
      </c>
      <c r="D7" s="22" t="n">
        <f aca="false">(C7/8)*(B7-1000)*'Fluid Properties'!$C$24/(1+12.7*(C7/8)^0.5*('Fluid Properties'!$C$24^(2/3)-1))</f>
        <v>66.2919656928927</v>
      </c>
      <c r="E7" s="22" t="n">
        <f aca="false">0.023*B7^0.8*'Fluid Properties'!$C$24^0.4</f>
        <v>69.5608358585765</v>
      </c>
      <c r="F7" s="36"/>
      <c r="G7" s="37" t="str">
        <f aca="false">IF(F7="","",ABS(F7-D7)/D7)</f>
        <v/>
      </c>
      <c r="H7" s="36"/>
      <c r="I7" s="37" t="str">
        <f aca="false">IF(H7="","",ABS(H7-C7)/C7)</f>
        <v/>
      </c>
    </row>
    <row r="8" customFormat="false" ht="15" hidden="false" customHeight="true" outlineLevel="0" collapsed="false">
      <c r="B8" s="35" t="n">
        <v>10000</v>
      </c>
      <c r="C8" s="19" t="n">
        <f aca="false">(0.79*LN(B8)-1.64)^-2</f>
        <v>0.0314798027567467</v>
      </c>
      <c r="D8" s="22" t="n">
        <f aca="false">(C8/8)*(B8-1000)*'Fluid Properties'!$C$24/(1+12.7*(C8/8)^0.5*('Fluid Properties'!$C$24^(2/3)-1))</f>
        <v>87.1106618657432</v>
      </c>
      <c r="E8" s="22" t="n">
        <f aca="false">0.023*B8^0.8*'Fluid Properties'!$C$24^0.4</f>
        <v>87.5620218790889</v>
      </c>
      <c r="F8" s="36"/>
      <c r="G8" s="37" t="str">
        <f aca="false">IF(F8="","",ABS(F8-D8)/D8)</f>
        <v/>
      </c>
      <c r="H8" s="36"/>
      <c r="I8" s="37" t="str">
        <f aca="false">IF(H8="","",ABS(H8-C8)/C8)</f>
        <v/>
      </c>
    </row>
    <row r="9" customFormat="false" ht="15" hidden="false" customHeight="true" outlineLevel="0" collapsed="false">
      <c r="B9" s="35" t="n">
        <v>20000</v>
      </c>
      <c r="C9" s="19" t="n">
        <f aca="false">(0.79*LN(B9)-1.64)^-2</f>
        <v>0.0261514291459307</v>
      </c>
      <c r="D9" s="22" t="n">
        <f aca="false">(C9/8)*(B9-1000)*'Fluid Properties'!$C$24/(1+12.7*(C9/8)^0.5*('Fluid Properties'!$C$24^(2/3)-1))</f>
        <v>163.252868010335</v>
      </c>
      <c r="E9" s="22" t="n">
        <f aca="false">0.023*B9^0.8*'Fluid Properties'!$C$24^0.4</f>
        <v>152.454334940377</v>
      </c>
      <c r="F9" s="36"/>
      <c r="G9" s="37" t="str">
        <f aca="false">IF(F9="","",ABS(F9-D9)/D9)</f>
        <v/>
      </c>
      <c r="H9" s="36"/>
      <c r="I9" s="37" t="str">
        <f aca="false">IF(H9="","",ABS(H9-C9)/C9)</f>
        <v/>
      </c>
    </row>
    <row r="10" customFormat="false" ht="15" hidden="false" customHeight="true" outlineLevel="0" collapsed="false">
      <c r="B10" s="35" t="n">
        <v>30000</v>
      </c>
      <c r="C10" s="19" t="n">
        <f aca="false">(0.79*LN(B10)-1.64)^-2</f>
        <v>0.0236390075372186</v>
      </c>
      <c r="D10" s="22" t="n">
        <f aca="false">(C10/8)*(B10-1000)*'Fluid Properties'!$C$24/(1+12.7*(C10/8)^0.5*('Fluid Properties'!$C$24^(2/3)-1))</f>
        <v>233.351058406506</v>
      </c>
      <c r="E10" s="22" t="n">
        <f aca="false">0.023*B10^0.8*'Fluid Properties'!$C$24^0.4</f>
        <v>210.86902258231</v>
      </c>
      <c r="F10" s="36"/>
      <c r="G10" s="37" t="str">
        <f aca="false">IF(F10="","",ABS(F10-D10)/D10)</f>
        <v/>
      </c>
      <c r="H10" s="36"/>
      <c r="I10" s="37" t="str">
        <f aca="false">IF(H10="","",ABS(H10-C10)/C10)</f>
        <v/>
      </c>
    </row>
    <row r="11" customFormat="false" ht="15" hidden="false" customHeight="true" outlineLevel="0" collapsed="false">
      <c r="B11" s="35" t="n">
        <v>50000</v>
      </c>
      <c r="C11" s="19" t="n">
        <f aca="false">(0.79*LN(B11)-1.64)^-2</f>
        <v>0.0209576466731264</v>
      </c>
      <c r="D11" s="22" t="n">
        <f aca="false">(C11/8)*(B11-1000)*'Fluid Properties'!$C$24/(1+12.7*(C11/8)^0.5*('Fluid Properties'!$C$24^(2/3)-1))</f>
        <v>364.364130971609</v>
      </c>
      <c r="E11" s="22" t="n">
        <f aca="false">0.023*B11^0.8*'Fluid Properties'!$C$24^0.4</f>
        <v>317.315863842325</v>
      </c>
      <c r="F11" s="36"/>
      <c r="G11" s="37" t="str">
        <f aca="false">IF(F11="","",ABS(F11-D11)/D11)</f>
        <v/>
      </c>
      <c r="H11" s="36"/>
      <c r="I11" s="37" t="str">
        <f aca="false">IF(H11="","",ABS(H11-C11)/C11)</f>
        <v/>
      </c>
    </row>
    <row r="12" customFormat="false" ht="15" hidden="false" customHeight="true" outlineLevel="0" collapsed="false">
      <c r="B12" s="35" t="n">
        <v>70000</v>
      </c>
      <c r="C12" s="19" t="n">
        <f aca="false">(0.79*LN(B12)-1.64)^-2</f>
        <v>0.0194332444015887</v>
      </c>
      <c r="D12" s="22" t="n">
        <f aca="false">(C12/8)*(B12-1000)*'Fluid Properties'!$C$24/(1+12.7*(C12/8)^0.5*('Fluid Properties'!$C$24^(2/3)-1))</f>
        <v>488.109887480463</v>
      </c>
      <c r="E12" s="22" t="n">
        <f aca="false">0.023*B12^0.8*'Fluid Properties'!$C$24^0.4</f>
        <v>415.330871372776</v>
      </c>
      <c r="F12" s="36"/>
      <c r="G12" s="37" t="str">
        <f aca="false">IF(F12="","",ABS(F12-D12)/D12)</f>
        <v/>
      </c>
      <c r="H12" s="36"/>
      <c r="I12" s="37" t="str">
        <f aca="false">IF(H12="","",ABS(H12-C12)/C12)</f>
        <v/>
      </c>
    </row>
    <row r="13" customFormat="false" ht="15" hidden="false" customHeight="true" outlineLevel="0" collapsed="false">
      <c r="B13" s="35" t="n">
        <v>100000</v>
      </c>
      <c r="C13" s="19" t="n">
        <f aca="false">(0.79*LN(B13)-1.64)^-2</f>
        <v>0.0179920275442123</v>
      </c>
      <c r="D13" s="22" t="n">
        <f aca="false">(C13/8)*(B13-1000)*'Fluid Properties'!$C$24/(1+12.7*(C13/8)^0.5*('Fluid Properties'!$C$24^(2/3)-1))</f>
        <v>665.351486902314</v>
      </c>
      <c r="E13" s="22" t="n">
        <f aca="false">0.023*B13^0.8*'Fluid Properties'!$C$24^0.4</f>
        <v>552.479008021465</v>
      </c>
      <c r="F13" s="36"/>
      <c r="G13" s="37" t="str">
        <f aca="false">IF(F13="","",ABS(F13-D13)/D13)</f>
        <v/>
      </c>
      <c r="H13" s="36"/>
      <c r="I13" s="37" t="str">
        <f aca="false">IF(H13="","",ABS(H13-C13)/C13)</f>
        <v/>
      </c>
    </row>
    <row r="15" customFormat="false" ht="54.75" hidden="false" customHeight="true" outlineLevel="0" collapsed="false">
      <c r="B15" s="13" t="s">
        <v>131</v>
      </c>
      <c r="C15" s="13"/>
      <c r="D15" s="13"/>
      <c r="E15" s="13"/>
      <c r="F15" s="13"/>
      <c r="G15" s="13"/>
      <c r="H15" s="13"/>
      <c r="I15" s="13"/>
    </row>
  </sheetData>
  <mergeCells count="2">
    <mergeCell ref="B3:I3"/>
    <mergeCell ref="B15:I15"/>
  </mergeCells>
  <conditionalFormatting sqref="G6:G13">
    <cfRule type="cellIs" priority="2" operator="lessThanOrEqual" aboveAverage="0" equalAverage="0" bottom="0" percent="0" rank="0" text="" dxfId="0">
      <formula>0.09</formula>
    </cfRule>
    <cfRule type="cellIs" priority="3" operator="greaterThan" aboveAverage="0" equalAverage="0" bottom="0" percent="0" rank="0" text="" dxfId="1">
      <formula>0.09</formula>
    </cfRule>
  </conditionalFormatting>
  <conditionalFormatting sqref="I6:I13">
    <cfRule type="cellIs" priority="4" operator="lessThanOrEqual" aboveAverage="0" equalAverage="0" bottom="0" percent="0" rank="0" text="" dxfId="0">
      <formula>0.05</formula>
    </cfRule>
    <cfRule type="cellIs" priority="5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5" min="3" style="1" width="16"/>
    <col collapsed="false" customWidth="true" hidden="false" outlineLevel="0" max="6" min="6" style="1" width="3"/>
  </cols>
  <sheetData>
    <row r="2" customFormat="false" ht="17.25" hidden="false" customHeight="true" outlineLevel="0" collapsed="false">
      <c r="B2" s="2" t="s">
        <v>132</v>
      </c>
    </row>
    <row r="3" customFormat="false" ht="39.75" hidden="false" customHeight="true" outlineLevel="0" collapsed="false">
      <c r="B3" s="13" t="s">
        <v>133</v>
      </c>
      <c r="C3" s="13"/>
      <c r="D3" s="13"/>
      <c r="E3" s="13"/>
    </row>
    <row r="5" customFormat="false" ht="15" hidden="false" customHeight="true" outlineLevel="0" collapsed="false">
      <c r="B5" s="8" t="s">
        <v>134</v>
      </c>
      <c r="C5" s="35" t="n">
        <v>100000</v>
      </c>
    </row>
    <row r="7" customFormat="false" ht="15" hidden="false" customHeight="true" outlineLevel="0" collapsed="false">
      <c r="B7" s="38" t="s">
        <v>135</v>
      </c>
      <c r="C7" s="38"/>
      <c r="D7" s="38"/>
      <c r="E7" s="38"/>
    </row>
    <row r="8" customFormat="false" ht="15" hidden="false" customHeight="true" outlineLevel="0" collapsed="false">
      <c r="B8" s="8" t="s">
        <v>136</v>
      </c>
      <c r="C8" s="39" t="n">
        <v>5000</v>
      </c>
    </row>
    <row r="10" customFormat="false" ht="30" hidden="false" customHeight="true" outlineLevel="0" collapsed="false">
      <c r="B10" s="7" t="s">
        <v>30</v>
      </c>
      <c r="C10" s="7" t="s">
        <v>137</v>
      </c>
      <c r="D10" s="7" t="s">
        <v>138</v>
      </c>
      <c r="E10" s="7" t="s">
        <v>139</v>
      </c>
    </row>
    <row r="11" customFormat="false" ht="15" hidden="false" customHeight="true" outlineLevel="0" collapsed="false">
      <c r="B11" s="8" t="s">
        <v>140</v>
      </c>
      <c r="C11" s="36"/>
      <c r="D11" s="36"/>
      <c r="E11" s="36" t="n">
        <v>500.93989</v>
      </c>
    </row>
    <row r="12" customFormat="false" ht="15" hidden="false" customHeight="true" outlineLevel="0" collapsed="false">
      <c r="B12" s="8" t="s">
        <v>141</v>
      </c>
      <c r="C12" s="36"/>
      <c r="D12" s="36"/>
      <c r="E12" s="36" t="n">
        <v>506.45377</v>
      </c>
    </row>
    <row r="13" customFormat="false" ht="15" hidden="false" customHeight="true" outlineLevel="0" collapsed="false">
      <c r="B13" s="8" t="s">
        <v>142</v>
      </c>
      <c r="C13" s="36"/>
      <c r="D13" s="36"/>
      <c r="E13" s="36" t="n">
        <v>368.57945</v>
      </c>
    </row>
    <row r="14" customFormat="false" ht="15" hidden="false" customHeight="true" outlineLevel="0" collapsed="false">
      <c r="B14" s="8" t="s">
        <v>143</v>
      </c>
      <c r="C14" s="36"/>
      <c r="D14" s="36"/>
      <c r="E14" s="36" t="n">
        <v>0</v>
      </c>
    </row>
    <row r="16" customFormat="false" ht="15" hidden="false" customHeight="true" outlineLevel="0" collapsed="false">
      <c r="B16" s="8" t="s">
        <v>144</v>
      </c>
      <c r="C16" s="19" t="str">
        <f aca="false">IF(C11="","",(Inputs!$C$10+C11)/2)</f>
        <v/>
      </c>
      <c r="D16" s="19" t="str">
        <f aca="false">IF(D11="","",(Inputs!$C$10+D11)/2)</f>
        <v/>
      </c>
      <c r="E16" s="19" t="n">
        <f aca="false">IF(E11="","",(Inputs!$C$10+E11)/2)</f>
        <v>500.469945</v>
      </c>
    </row>
    <row r="17" customFormat="false" ht="15" hidden="false" customHeight="true" outlineLevel="0" collapsed="false">
      <c r="B17" s="8" t="s">
        <v>145</v>
      </c>
      <c r="C17" s="22" t="str">
        <f aca="false">IF(OR(C12="",C16=""),"",$C$8/(C12-C16))</f>
        <v/>
      </c>
      <c r="D17" s="22" t="str">
        <f aca="false">IF(OR(D12="",D16=""),"",$C$8/(D12-D16))</f>
        <v/>
      </c>
      <c r="E17" s="22" t="n">
        <f aca="false">IF(OR(E12="",E16=""),"",$C$8/(E12-E16))</f>
        <v>835.585933746388</v>
      </c>
    </row>
    <row r="18" customFormat="false" ht="15" hidden="false" customHeight="true" outlineLevel="0" collapsed="false">
      <c r="B18" s="4" t="s">
        <v>146</v>
      </c>
      <c r="C18" s="40" t="str">
        <f aca="false">IF(C17="","",C17*Inputs!$C$6/'Fluid Properties'!$C$19)</f>
        <v/>
      </c>
      <c r="D18" s="40" t="str">
        <f aca="false">IF(D17="","",D17*Inputs!$C$6/'Fluid Properties'!$C$19)</f>
        <v/>
      </c>
      <c r="E18" s="40" t="n">
        <f aca="false">IF(E17="","",E17*Inputs!$C$6/'Fluid Properties'!$C$19)</f>
        <v>511.687650793869</v>
      </c>
    </row>
    <row r="19" customFormat="false" ht="15" hidden="false" customHeight="true" outlineLevel="0" collapsed="false">
      <c r="B19" s="8" t="s">
        <v>147</v>
      </c>
      <c r="C19" s="19" t="str">
        <f aca="false">IF(OR(C13="",C14=""),"",C13-C14)</f>
        <v/>
      </c>
      <c r="D19" s="19" t="str">
        <f aca="false">IF(OR(D13="",D14=""),"",D13-D14)</f>
        <v/>
      </c>
      <c r="E19" s="19" t="n">
        <f aca="false">IF(OR(E13="",E14=""),"",E13-E14)</f>
        <v>368.57945</v>
      </c>
    </row>
    <row r="20" customFormat="false" ht="15" hidden="false" customHeight="true" outlineLevel="0" collapsed="false">
      <c r="B20" s="4" t="s">
        <v>148</v>
      </c>
      <c r="C20" s="41" t="str">
        <f aca="false">IF(C19="","",2*C19*Inputs!$C$6/(Inputs!$C$7*'Fluid Properties'!$C$17*'YPlus Inflation'!$D$10^2))</f>
        <v/>
      </c>
      <c r="D20" s="41" t="str">
        <f aca="false">IF(D19="","",2*D19*Inputs!$C$6/(Inputs!$C$7*'Fluid Properties'!$C$17*'YPlus Inflation'!$D$10^2))</f>
        <v/>
      </c>
      <c r="E20" s="41" t="n">
        <f aca="false">IF(E19="","",2*E19*Inputs!$C$6/(Inputs!$C$7*'Fluid Properties'!$C$17*'YPlus Inflation'!$D$10^2))</f>
        <v>0.0172303048932932</v>
      </c>
    </row>
    <row r="21" customFormat="false" ht="30" hidden="false" customHeight="true" outlineLevel="0" collapsed="false">
      <c r="B21" s="13" t="s">
        <v>149</v>
      </c>
      <c r="C21" s="13"/>
      <c r="D21" s="13"/>
      <c r="E21" s="13"/>
    </row>
    <row r="23" customFormat="false" ht="15" hidden="false" customHeight="true" outlineLevel="0" collapsed="false">
      <c r="B23" s="38" t="s">
        <v>150</v>
      </c>
      <c r="C23" s="38"/>
      <c r="D23" s="38"/>
      <c r="E23" s="38"/>
    </row>
    <row r="24" customFormat="false" ht="30" hidden="false" customHeight="true" outlineLevel="0" collapsed="false">
      <c r="B24" s="7" t="s">
        <v>30</v>
      </c>
      <c r="C24" s="7" t="s">
        <v>137</v>
      </c>
      <c r="D24" s="7" t="s">
        <v>138</v>
      </c>
      <c r="E24" s="7" t="s">
        <v>139</v>
      </c>
    </row>
    <row r="25" customFormat="false" ht="15" hidden="false" customHeight="true" outlineLevel="0" collapsed="false">
      <c r="B25" s="8" t="s">
        <v>151</v>
      </c>
      <c r="C25" s="42" t="n">
        <f aca="false">'Mesh Levels'!$E$29</f>
        <v>3.43167571948627</v>
      </c>
      <c r="D25" s="42" t="n">
        <f aca="false">'Mesh Levels'!$D$29</f>
        <v>4.8393110188735</v>
      </c>
      <c r="E25" s="42" t="n">
        <f aca="false">'Mesh Levels'!$C$29</f>
        <v>6.72473347933769</v>
      </c>
    </row>
    <row r="26" customFormat="false" ht="15" hidden="false" customHeight="true" outlineLevel="0" collapsed="false">
      <c r="B26" s="8" t="s">
        <v>152</v>
      </c>
      <c r="C26" s="43" t="str">
        <f aca="false">IF(C18="","",C18)</f>
        <v/>
      </c>
      <c r="D26" s="43" t="str">
        <f aca="false">IF(D18="","",D18)</f>
        <v/>
      </c>
      <c r="E26" s="43" t="n">
        <f aca="false">IF(E18="","",E18)</f>
        <v>511.687650793869</v>
      </c>
    </row>
    <row r="28" customFormat="false" ht="15" hidden="false" customHeight="true" outlineLevel="0" collapsed="false">
      <c r="B28" s="8" t="s">
        <v>153</v>
      </c>
      <c r="C28" s="27" t="n">
        <f aca="false">D25/C25</f>
        <v>1.41018890316302</v>
      </c>
    </row>
    <row r="29" customFormat="false" ht="15" hidden="false" customHeight="true" outlineLevel="0" collapsed="false">
      <c r="B29" s="8" t="s">
        <v>154</v>
      </c>
      <c r="C29" s="27" t="n">
        <f aca="false">E25/D25</f>
        <v>1.3896055560618</v>
      </c>
    </row>
    <row r="30" customFormat="false" ht="15" hidden="false" customHeight="true" outlineLevel="0" collapsed="false">
      <c r="B30" s="8" t="s">
        <v>155</v>
      </c>
      <c r="C30" s="19" t="str">
        <f aca="false">IF(OR(C26="",D26=""),"",D26-C26)</f>
        <v/>
      </c>
    </row>
    <row r="31" customFormat="false" ht="15" hidden="false" customHeight="true" outlineLevel="0" collapsed="false">
      <c r="B31" s="8" t="s">
        <v>156</v>
      </c>
      <c r="C31" s="19" t="str">
        <f aca="false">IF(OR(D26="",E26=""),"",E26-D26)</f>
        <v/>
      </c>
    </row>
    <row r="32" customFormat="false" ht="27.75" hidden="false" customHeight="true" outlineLevel="0" collapsed="false">
      <c r="B32" s="5" t="s">
        <v>157</v>
      </c>
      <c r="C32" s="27" t="str">
        <f aca="false">IF(OR(C30="",C31=""),"",LN(ABS(C31/C30))/LN(C28))</f>
        <v/>
      </c>
    </row>
    <row r="33" customFormat="false" ht="27.75" hidden="false" customHeight="true" outlineLevel="0" collapsed="false">
      <c r="B33" s="5" t="s">
        <v>158</v>
      </c>
      <c r="C33" s="19" t="str">
        <f aca="false">IF(C32="","",(C28^C32*C26-D26)/(C28^C32-1))</f>
        <v/>
      </c>
    </row>
    <row r="34" customFormat="false" ht="15" hidden="false" customHeight="true" outlineLevel="0" collapsed="false">
      <c r="B34" s="8" t="s">
        <v>159</v>
      </c>
      <c r="C34" s="44" t="str">
        <f aca="false">IF(OR(C26="",D26=""),"",ABS((C26-D26)/C26))</f>
        <v/>
      </c>
    </row>
    <row r="35" customFormat="false" ht="15" hidden="false" customHeight="true" outlineLevel="0" collapsed="false">
      <c r="B35" s="8" t="s">
        <v>160</v>
      </c>
      <c r="C35" s="44" t="str">
        <f aca="false">IF(C33="","",ABS((C33-C26)/C33))</f>
        <v/>
      </c>
    </row>
    <row r="36" customFormat="false" ht="15" hidden="false" customHeight="true" outlineLevel="0" collapsed="false">
      <c r="B36" s="4" t="s">
        <v>161</v>
      </c>
      <c r="C36" s="45" t="str">
        <f aca="false">IF(OR(C32="",C34=""),"",1.25*C34/(C28^C32-1))</f>
        <v/>
      </c>
    </row>
    <row r="37" customFormat="false" ht="30" hidden="false" customHeight="true" outlineLevel="0" collapsed="false">
      <c r="B37" s="13" t="s">
        <v>162</v>
      </c>
      <c r="C37" s="13"/>
      <c r="D37" s="13"/>
      <c r="E37" s="13"/>
    </row>
    <row r="39" customFormat="false" ht="15" hidden="false" customHeight="true" outlineLevel="0" collapsed="false">
      <c r="B39" s="38" t="s">
        <v>163</v>
      </c>
      <c r="C39" s="38"/>
      <c r="D39" s="38"/>
      <c r="E39" s="38"/>
    </row>
    <row r="40" customFormat="false" ht="30" hidden="false" customHeight="true" outlineLevel="0" collapsed="false">
      <c r="B40" s="7" t="s">
        <v>30</v>
      </c>
      <c r="C40" s="7" t="s">
        <v>137</v>
      </c>
      <c r="D40" s="7" t="s">
        <v>138</v>
      </c>
      <c r="E40" s="7" t="s">
        <v>139</v>
      </c>
    </row>
    <row r="41" customFormat="false" ht="15" hidden="false" customHeight="true" outlineLevel="0" collapsed="false">
      <c r="B41" s="8" t="s">
        <v>151</v>
      </c>
      <c r="C41" s="42" t="n">
        <f aca="false">'Mesh Levels'!$E$29</f>
        <v>3.43167571948627</v>
      </c>
      <c r="D41" s="42" t="n">
        <f aca="false">'Mesh Levels'!$D$29</f>
        <v>4.8393110188735</v>
      </c>
      <c r="E41" s="42" t="n">
        <f aca="false">'Mesh Levels'!$C$29</f>
        <v>6.72473347933769</v>
      </c>
    </row>
    <row r="42" customFormat="false" ht="15" hidden="false" customHeight="true" outlineLevel="0" collapsed="false">
      <c r="B42" s="8" t="s">
        <v>164</v>
      </c>
      <c r="C42" s="43" t="str">
        <f aca="false">IF(C20="","",C20)</f>
        <v/>
      </c>
      <c r="D42" s="43" t="str">
        <f aca="false">IF(D20="","",D20)</f>
        <v/>
      </c>
      <c r="E42" s="43" t="n">
        <f aca="false">IF(E20="","",E20)</f>
        <v>0.0172303048932932</v>
      </c>
    </row>
    <row r="44" customFormat="false" ht="15" hidden="false" customHeight="true" outlineLevel="0" collapsed="false">
      <c r="B44" s="8" t="s">
        <v>153</v>
      </c>
      <c r="C44" s="27" t="n">
        <f aca="false">D41/C41</f>
        <v>1.41018890316302</v>
      </c>
    </row>
    <row r="45" customFormat="false" ht="15" hidden="false" customHeight="true" outlineLevel="0" collapsed="false">
      <c r="B45" s="8" t="s">
        <v>154</v>
      </c>
      <c r="C45" s="27" t="n">
        <f aca="false">E41/D41</f>
        <v>1.3896055560618</v>
      </c>
    </row>
    <row r="46" customFormat="false" ht="15" hidden="false" customHeight="true" outlineLevel="0" collapsed="false">
      <c r="B46" s="8" t="s">
        <v>155</v>
      </c>
      <c r="C46" s="19" t="str">
        <f aca="false">IF(OR(C42="",D42=""),"",D42-C42)</f>
        <v/>
      </c>
    </row>
    <row r="47" customFormat="false" ht="15" hidden="false" customHeight="true" outlineLevel="0" collapsed="false">
      <c r="B47" s="8" t="s">
        <v>156</v>
      </c>
      <c r="C47" s="19" t="str">
        <f aca="false">IF(OR(D42="",E42=""),"",E42-D42)</f>
        <v/>
      </c>
    </row>
    <row r="48" customFormat="false" ht="27.75" hidden="false" customHeight="true" outlineLevel="0" collapsed="false">
      <c r="B48" s="5" t="s">
        <v>157</v>
      </c>
      <c r="C48" s="27" t="str">
        <f aca="false">IF(OR(C46="",C47=""),"",LN(ABS(C47/C46))/LN(C44))</f>
        <v/>
      </c>
    </row>
    <row r="49" customFormat="false" ht="27.75" hidden="false" customHeight="true" outlineLevel="0" collapsed="false">
      <c r="B49" s="5" t="s">
        <v>158</v>
      </c>
      <c r="C49" s="19" t="str">
        <f aca="false">IF(C48="","",(C44^C48*C42-D42)/(C44^C48-1))</f>
        <v/>
      </c>
    </row>
    <row r="50" customFormat="false" ht="15" hidden="false" customHeight="true" outlineLevel="0" collapsed="false">
      <c r="B50" s="8" t="s">
        <v>159</v>
      </c>
      <c r="C50" s="44" t="str">
        <f aca="false">IF(OR(C42="",D42=""),"",ABS((C42-D42)/C42))</f>
        <v/>
      </c>
    </row>
    <row r="51" customFormat="false" ht="15" hidden="false" customHeight="true" outlineLevel="0" collapsed="false">
      <c r="B51" s="8" t="s">
        <v>160</v>
      </c>
      <c r="C51" s="44" t="str">
        <f aca="false">IF(C49="","",ABS((C49-C42)/C49))</f>
        <v/>
      </c>
    </row>
    <row r="52" customFormat="false" ht="15" hidden="false" customHeight="true" outlineLevel="0" collapsed="false">
      <c r="B52" s="4" t="s">
        <v>161</v>
      </c>
      <c r="C52" s="45" t="str">
        <f aca="false">IF(OR(C48="",C50=""),"",1.25*C50/(C44^C48-1))</f>
        <v/>
      </c>
    </row>
    <row r="53" customFormat="false" ht="30" hidden="false" customHeight="true" outlineLevel="0" collapsed="false">
      <c r="B53" s="13" t="s">
        <v>162</v>
      </c>
      <c r="C53" s="13"/>
      <c r="D53" s="13"/>
      <c r="E53" s="13"/>
    </row>
  </sheetData>
  <mergeCells count="7">
    <mergeCell ref="B3:E3"/>
    <mergeCell ref="B7:E7"/>
    <mergeCell ref="B21:E21"/>
    <mergeCell ref="B23:E23"/>
    <mergeCell ref="B37:E37"/>
    <mergeCell ref="B39:E39"/>
    <mergeCell ref="B53:E53"/>
  </mergeCells>
  <conditionalFormatting sqref="C36">
    <cfRule type="cellIs" priority="2" operator="lessThanOrEqual" aboveAverage="0" equalAverage="0" bottom="0" percent="0" rank="0" text="" dxfId="0">
      <formula>0.01</formula>
    </cfRule>
    <cfRule type="cellIs" priority="3" operator="greaterThan" aboveAverage="0" equalAverage="0" bottom="0" percent="0" rank="0" text="" dxfId="1">
      <formula>0.01</formula>
    </cfRule>
  </conditionalFormatting>
  <conditionalFormatting sqref="C52">
    <cfRule type="cellIs" priority="4" operator="lessThanOrEqual" aboveAverage="0" equalAverage="0" bottom="0" percent="0" rank="0" text="" dxfId="0">
      <formula>0.01</formula>
    </cfRule>
    <cfRule type="cellIs" priority="5" operator="greaterThan" aboveAverage="0" equalAverage="0" bottom="0" percent="0" rank="0" text="" dxfId="1"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3" min="3" style="1" width="10"/>
    <col collapsed="false" customWidth="true" hidden="false" outlineLevel="0" max="5" min="4" style="1" width="8"/>
    <col collapsed="false" customWidth="true" hidden="false" outlineLevel="0" max="8" min="6" style="1" width="10"/>
    <col collapsed="false" customWidth="true" hidden="false" outlineLevel="0" max="10" min="9" style="1" width="12"/>
    <col collapsed="false" customWidth="true" hidden="false" outlineLevel="0" max="11" min="11" style="1" width="10"/>
    <col collapsed="false" customWidth="true" hidden="false" outlineLevel="0" max="12" min="12" style="1" width="3"/>
  </cols>
  <sheetData>
    <row r="2" customFormat="false" ht="17.25" hidden="false" customHeight="true" outlineLevel="0" collapsed="false">
      <c r="B2" s="2" t="s">
        <v>165</v>
      </c>
    </row>
    <row r="3" customFormat="false" ht="30" hidden="false" customHeight="true" outlineLevel="0" collapsed="false">
      <c r="B3" s="13" t="s">
        <v>166</v>
      </c>
      <c r="C3" s="13"/>
      <c r="D3" s="13"/>
      <c r="E3" s="13"/>
      <c r="F3" s="13"/>
      <c r="G3" s="13"/>
      <c r="H3" s="13"/>
      <c r="I3" s="13"/>
      <c r="J3" s="13"/>
      <c r="K3" s="13"/>
    </row>
    <row r="5" customFormat="false" ht="15" hidden="false" customHeight="true" outlineLevel="0" collapsed="false">
      <c r="B5" s="8" t="s">
        <v>167</v>
      </c>
      <c r="C5" s="12" t="n">
        <v>39.2</v>
      </c>
    </row>
    <row r="7" customFormat="false" ht="30" hidden="false" customHeight="true" outlineLevel="0" collapsed="false">
      <c r="B7" s="7" t="s">
        <v>168</v>
      </c>
      <c r="C7" s="7" t="s">
        <v>169</v>
      </c>
      <c r="D7" s="7" t="s">
        <v>170</v>
      </c>
      <c r="E7" s="7" t="s">
        <v>171</v>
      </c>
      <c r="F7" s="7" t="s">
        <v>172</v>
      </c>
      <c r="G7" s="7" t="s">
        <v>173</v>
      </c>
      <c r="H7" s="7" t="s">
        <v>174</v>
      </c>
      <c r="I7" s="7" t="s">
        <v>175</v>
      </c>
      <c r="J7" s="7" t="s">
        <v>176</v>
      </c>
      <c r="K7" s="7" t="s">
        <v>177</v>
      </c>
    </row>
    <row r="8" customFormat="false" ht="15" hidden="false" customHeight="true" outlineLevel="0" collapsed="false">
      <c r="B8" s="39" t="n">
        <v>1</v>
      </c>
      <c r="C8" s="46" t="n">
        <v>933.7</v>
      </c>
      <c r="D8" s="46" t="n">
        <v>2.6</v>
      </c>
      <c r="E8" s="46" t="n">
        <v>102.2</v>
      </c>
      <c r="F8" s="46" t="n">
        <v>47.7</v>
      </c>
      <c r="G8" s="46" t="n">
        <v>124</v>
      </c>
      <c r="H8" s="30" t="n">
        <v>72.51</v>
      </c>
      <c r="I8" s="36"/>
      <c r="J8" s="36"/>
      <c r="K8" s="37" t="str">
        <f aca="false">IF(J8="","",ABS(J8-H8)/H8)</f>
        <v/>
      </c>
    </row>
    <row r="9" customFormat="false" ht="15" hidden="false" customHeight="true" outlineLevel="0" collapsed="false">
      <c r="B9" s="39" t="n">
        <v>2</v>
      </c>
      <c r="C9" s="46" t="n">
        <v>968.2</v>
      </c>
      <c r="D9" s="46" t="n">
        <v>3.7</v>
      </c>
      <c r="E9" s="46" t="n">
        <v>151</v>
      </c>
      <c r="F9" s="46" t="n">
        <v>47.8</v>
      </c>
      <c r="G9" s="46" t="n">
        <v>173.3</v>
      </c>
      <c r="H9" s="30" t="n">
        <v>70.9</v>
      </c>
      <c r="I9" s="36"/>
      <c r="J9" s="36"/>
      <c r="K9" s="37" t="str">
        <f aca="false">IF(J9="","",ABS(J9-H9)/H9)</f>
        <v/>
      </c>
    </row>
    <row r="10" customFormat="false" ht="15" hidden="false" customHeight="true" outlineLevel="0" collapsed="false">
      <c r="B10" s="39" t="n">
        <v>3</v>
      </c>
      <c r="C10" s="46" t="n">
        <v>982.3</v>
      </c>
      <c r="D10" s="46" t="n">
        <v>2.5</v>
      </c>
      <c r="E10" s="46" t="n">
        <v>197.5</v>
      </c>
      <c r="F10" s="46" t="n">
        <v>49.1</v>
      </c>
      <c r="G10" s="46" t="n">
        <v>219.5</v>
      </c>
      <c r="H10" s="30" t="n">
        <v>70.17</v>
      </c>
      <c r="I10" s="36"/>
      <c r="J10" s="36"/>
      <c r="K10" s="37" t="str">
        <f aca="false">IF(J10="","",ABS(J10-H10)/H10)</f>
        <v/>
      </c>
    </row>
    <row r="11" customFormat="false" ht="15" hidden="false" customHeight="true" outlineLevel="0" collapsed="false">
      <c r="B11" s="39" t="n">
        <v>4</v>
      </c>
      <c r="C11" s="46" t="n">
        <v>906.6</v>
      </c>
      <c r="D11" s="46" t="n">
        <v>3.3</v>
      </c>
      <c r="E11" s="46" t="n">
        <v>250.7</v>
      </c>
      <c r="F11" s="46" t="n">
        <v>54.7</v>
      </c>
      <c r="G11" s="46" t="n">
        <v>269.4</v>
      </c>
      <c r="H11" s="30" t="n">
        <v>70.25</v>
      </c>
      <c r="I11" s="36"/>
      <c r="J11" s="36"/>
      <c r="K11" s="37" t="str">
        <f aca="false">IF(J11="","",ABS(J11-H11)/H11)</f>
        <v/>
      </c>
    </row>
    <row r="12" customFormat="false" ht="15" hidden="false" customHeight="true" outlineLevel="0" collapsed="false">
      <c r="B12" s="39" t="n">
        <v>5</v>
      </c>
      <c r="C12" s="46" t="n">
        <v>937.9</v>
      </c>
      <c r="D12" s="46" t="n">
        <v>1</v>
      </c>
      <c r="E12" s="46" t="n">
        <v>297.8</v>
      </c>
      <c r="F12" s="46" t="n">
        <v>55.5</v>
      </c>
      <c r="G12" s="46" t="n">
        <v>316.9</v>
      </c>
      <c r="H12" s="30" t="n">
        <v>67.98</v>
      </c>
      <c r="I12" s="36"/>
      <c r="J12" s="36"/>
      <c r="K12" s="37" t="str">
        <f aca="false">IF(J12="","",ABS(J12-H12)/H12)</f>
        <v/>
      </c>
    </row>
    <row r="13" customFormat="false" ht="15" hidden="false" customHeight="true" outlineLevel="0" collapsed="false">
      <c r="B13" s="39" t="n">
        <v>6</v>
      </c>
      <c r="C13" s="46" t="n">
        <v>880.6</v>
      </c>
      <c r="D13" s="46" t="n">
        <v>2.9</v>
      </c>
      <c r="E13" s="46" t="n">
        <v>299</v>
      </c>
      <c r="F13" s="46" t="n">
        <v>55.6</v>
      </c>
      <c r="G13" s="46" t="n">
        <v>317.2</v>
      </c>
      <c r="H13" s="30" t="n">
        <v>68.92</v>
      </c>
      <c r="I13" s="36"/>
      <c r="J13" s="36"/>
      <c r="K13" s="37" t="str">
        <f aca="false">IF(J13="","",ABS(J13-H13)/H13)</f>
        <v/>
      </c>
    </row>
    <row r="14" customFormat="false" ht="15" hidden="false" customHeight="true" outlineLevel="0" collapsed="false">
      <c r="B14" s="39" t="n">
        <v>7</v>
      </c>
      <c r="C14" s="46" t="n">
        <v>920.9</v>
      </c>
      <c r="D14" s="46" t="n">
        <v>2.6</v>
      </c>
      <c r="E14" s="46" t="n">
        <v>379.5</v>
      </c>
      <c r="F14" s="46" t="n">
        <v>56.8</v>
      </c>
      <c r="G14" s="46" t="n">
        <v>398</v>
      </c>
      <c r="H14" s="30" t="n">
        <v>62.34</v>
      </c>
      <c r="I14" s="36"/>
      <c r="J14" s="36"/>
      <c r="K14" s="37" t="str">
        <f aca="false">IF(J14="","",ABS(J14-H14)/H14)</f>
        <v/>
      </c>
    </row>
    <row r="15" customFormat="false" ht="15" hidden="false" customHeight="true" outlineLevel="0" collapsed="false">
      <c r="B15" s="39" t="n">
        <v>8</v>
      </c>
      <c r="C15" s="46" t="n">
        <v>903.2</v>
      </c>
      <c r="D15" s="46" t="n">
        <v>4.2</v>
      </c>
      <c r="E15" s="46" t="n">
        <v>355.9</v>
      </c>
      <c r="F15" s="46" t="n">
        <v>56.3</v>
      </c>
      <c r="G15" s="46" t="n">
        <v>374</v>
      </c>
      <c r="H15" s="30" t="n">
        <v>63.82</v>
      </c>
      <c r="I15" s="36"/>
      <c r="J15" s="36"/>
      <c r="K15" s="37" t="str">
        <f aca="false">IF(J15="","",ABS(J15-H15)/H15)</f>
        <v/>
      </c>
    </row>
    <row r="16" customFormat="false" ht="15" hidden="false" customHeight="true" outlineLevel="0" collapsed="false">
      <c r="B16" s="39" t="n">
        <v>9</v>
      </c>
      <c r="C16" s="46" t="n">
        <v>920.9</v>
      </c>
      <c r="D16" s="46" t="n">
        <v>2.6</v>
      </c>
      <c r="E16" s="46" t="n">
        <v>379.5</v>
      </c>
      <c r="F16" s="46" t="n">
        <v>56.8</v>
      </c>
      <c r="G16" s="46" t="n">
        <v>398</v>
      </c>
      <c r="H16" s="30" t="n">
        <v>62.34</v>
      </c>
      <c r="I16" s="36"/>
      <c r="J16" s="36"/>
      <c r="K16" s="37" t="str">
        <f aca="false">IF(J16="","",ABS(J16-H16)/H16)</f>
        <v/>
      </c>
    </row>
    <row r="18" customFormat="false" ht="45" hidden="false" customHeight="true" outlineLevel="0" collapsed="false">
      <c r="B18" s="13" t="s">
        <v>178</v>
      </c>
      <c r="C18" s="13"/>
      <c r="D18" s="13"/>
      <c r="E18" s="13"/>
      <c r="F18" s="13"/>
      <c r="G18" s="13"/>
      <c r="H18" s="13"/>
      <c r="I18" s="13"/>
      <c r="J18" s="13"/>
      <c r="K18" s="13"/>
    </row>
  </sheetData>
  <mergeCells count="2">
    <mergeCell ref="B3:K3"/>
    <mergeCell ref="B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"/>
    <col collapsed="false" customWidth="true" hidden="false" outlineLevel="0" max="5" min="3" style="1" width="9"/>
    <col collapsed="false" customWidth="true" hidden="false" outlineLevel="0" max="6" min="6" style="1" width="13"/>
    <col collapsed="false" customWidth="true" hidden="false" outlineLevel="0" max="7" min="7" style="1" width="7"/>
    <col collapsed="false" customWidth="true" hidden="false" outlineLevel="0" max="11" min="8" style="1" width="8"/>
    <col collapsed="false" customWidth="true" hidden="false" outlineLevel="0" max="14" min="12" style="1" width="9"/>
    <col collapsed="false" customWidth="true" hidden="false" outlineLevel="0" max="16" min="15" style="1" width="10"/>
    <col collapsed="false" customWidth="true" hidden="false" outlineLevel="0" max="17" min="17" style="1" width="12"/>
    <col collapsed="false" customWidth="true" hidden="false" outlineLevel="0" max="18" min="18" style="1" width="11"/>
    <col collapsed="false" customWidth="true" hidden="false" outlineLevel="0" max="19" min="19" style="1" width="3"/>
  </cols>
  <sheetData>
    <row r="2" customFormat="false" ht="17.25" hidden="false" customHeight="true" outlineLevel="0" collapsed="false">
      <c r="B2" s="2" t="s">
        <v>179</v>
      </c>
    </row>
    <row r="3" customFormat="false" ht="39.75" hidden="false" customHeight="true" outlineLevel="0" collapsed="false">
      <c r="B3" s="13" t="s">
        <v>180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</row>
    <row r="5" customFormat="false" ht="23.25" hidden="false" customHeight="true" outlineLevel="0" collapsed="false">
      <c r="B5" s="47" t="s">
        <v>181</v>
      </c>
      <c r="C5" s="47"/>
      <c r="D5" s="47"/>
      <c r="E5" s="47"/>
      <c r="F5" s="47"/>
      <c r="G5" s="36"/>
    </row>
    <row r="6" customFormat="false" ht="23.25" hidden="false" customHeight="true" outlineLevel="0" collapsed="false">
      <c r="B6" s="47" t="s">
        <v>182</v>
      </c>
      <c r="C6" s="47"/>
      <c r="D6" s="47"/>
      <c r="E6" s="47"/>
      <c r="F6" s="47"/>
      <c r="G6" s="36"/>
    </row>
    <row r="8" customFormat="false" ht="30" hidden="false" customHeight="true" outlineLevel="0" collapsed="false">
      <c r="B8" s="7" t="s">
        <v>183</v>
      </c>
      <c r="C8" s="7" t="s">
        <v>184</v>
      </c>
      <c r="D8" s="7" t="s">
        <v>185</v>
      </c>
      <c r="E8" s="7" t="s">
        <v>186</v>
      </c>
      <c r="F8" s="7" t="s">
        <v>187</v>
      </c>
      <c r="G8" s="7" t="s">
        <v>188</v>
      </c>
      <c r="H8" s="7" t="s">
        <v>189</v>
      </c>
      <c r="I8" s="7" t="s">
        <v>190</v>
      </c>
      <c r="J8" s="7" t="s">
        <v>191</v>
      </c>
      <c r="K8" s="7" t="s">
        <v>192</v>
      </c>
      <c r="L8" s="7" t="s">
        <v>193</v>
      </c>
      <c r="M8" s="7" t="s">
        <v>194</v>
      </c>
      <c r="N8" s="7" t="s">
        <v>195</v>
      </c>
      <c r="O8" s="7" t="s">
        <v>196</v>
      </c>
      <c r="P8" s="7" t="s">
        <v>197</v>
      </c>
      <c r="Q8" s="7" t="s">
        <v>198</v>
      </c>
      <c r="R8" s="7" t="s">
        <v>199</v>
      </c>
    </row>
    <row r="9" customFormat="false" ht="15" hidden="false" customHeight="true" outlineLevel="0" collapsed="false">
      <c r="B9" s="39" t="n">
        <v>1</v>
      </c>
      <c r="C9" s="30" t="n">
        <v>3.03</v>
      </c>
      <c r="D9" s="30" t="n">
        <v>0.23</v>
      </c>
      <c r="E9" s="30" t="n">
        <v>0.04</v>
      </c>
      <c r="F9" s="12" t="s">
        <v>200</v>
      </c>
      <c r="G9" s="46" t="n">
        <v>0.5</v>
      </c>
      <c r="H9" s="39" t="n">
        <v>200</v>
      </c>
      <c r="I9" s="39" t="n">
        <v>15</v>
      </c>
      <c r="J9" s="46" t="n">
        <v>0.6</v>
      </c>
      <c r="K9" s="46" t="n">
        <v>13.8</v>
      </c>
      <c r="L9" s="36"/>
      <c r="M9" s="36"/>
      <c r="N9" s="27" t="str">
        <f aca="false">IF(OR(L9="",M9="",$G$5="",$G$6=""),"",(L9/$G$5)/(M9/$G$6)^(1/3))</f>
        <v/>
      </c>
      <c r="O9" s="36"/>
      <c r="P9" s="36"/>
      <c r="Q9" s="36"/>
      <c r="R9" s="36"/>
    </row>
    <row r="10" customFormat="false" ht="15" hidden="false" customHeight="true" outlineLevel="0" collapsed="false">
      <c r="B10" s="39" t="n">
        <v>2</v>
      </c>
      <c r="C10" s="30" t="n">
        <v>3.03</v>
      </c>
      <c r="D10" s="30" t="n">
        <v>0.23</v>
      </c>
      <c r="E10" s="30" t="n">
        <v>0.08</v>
      </c>
      <c r="F10" s="12" t="s">
        <v>201</v>
      </c>
      <c r="G10" s="46" t="n">
        <v>1</v>
      </c>
      <c r="H10" s="39" t="n">
        <v>200</v>
      </c>
      <c r="I10" s="39" t="n">
        <v>15</v>
      </c>
      <c r="J10" s="46" t="n">
        <v>1.2</v>
      </c>
      <c r="K10" s="46" t="n">
        <v>12.6</v>
      </c>
      <c r="L10" s="36"/>
      <c r="M10" s="36"/>
      <c r="N10" s="27" t="str">
        <f aca="false">IF(OR(L10="",M10="",$G$5="",$G$6=""),"",(L10/$G$5)/(M10/$G$6)^(1/3))</f>
        <v/>
      </c>
      <c r="O10" s="36"/>
      <c r="P10" s="36"/>
      <c r="Q10" s="36"/>
      <c r="R10" s="36"/>
    </row>
    <row r="11" customFormat="false" ht="15" hidden="false" customHeight="true" outlineLevel="0" collapsed="false">
      <c r="B11" s="39" t="n">
        <v>3</v>
      </c>
      <c r="C11" s="30" t="n">
        <v>3.03</v>
      </c>
      <c r="D11" s="30" t="n">
        <v>0.23</v>
      </c>
      <c r="E11" s="30" t="n">
        <v>0.12</v>
      </c>
      <c r="F11" s="12" t="s">
        <v>202</v>
      </c>
      <c r="G11" s="46" t="n">
        <v>2</v>
      </c>
      <c r="H11" s="39" t="n">
        <v>200</v>
      </c>
      <c r="I11" s="39" t="n">
        <v>15</v>
      </c>
      <c r="J11" s="46" t="n">
        <v>1.8</v>
      </c>
      <c r="K11" s="46" t="n">
        <v>11.4</v>
      </c>
      <c r="L11" s="36"/>
      <c r="M11" s="36"/>
      <c r="N11" s="27" t="str">
        <f aca="false">IF(OR(L11="",M11="",$G$5="",$G$6=""),"",(L11/$G$5)/(M11/$G$6)^(1/3))</f>
        <v/>
      </c>
      <c r="O11" s="36"/>
      <c r="P11" s="36"/>
      <c r="Q11" s="36"/>
      <c r="R11" s="36"/>
    </row>
    <row r="12" customFormat="false" ht="15" hidden="false" customHeight="true" outlineLevel="0" collapsed="false">
      <c r="B12" s="39" t="n">
        <v>4</v>
      </c>
      <c r="C12" s="30" t="n">
        <v>3.03</v>
      </c>
      <c r="D12" s="30" t="n">
        <v>0.38</v>
      </c>
      <c r="E12" s="30" t="n">
        <v>0.04</v>
      </c>
      <c r="F12" s="12" t="s">
        <v>201</v>
      </c>
      <c r="G12" s="46" t="n">
        <v>2</v>
      </c>
      <c r="H12" s="39" t="n">
        <v>200</v>
      </c>
      <c r="I12" s="39" t="n">
        <v>25</v>
      </c>
      <c r="J12" s="46" t="n">
        <v>1</v>
      </c>
      <c r="K12" s="46" t="n">
        <v>23</v>
      </c>
      <c r="L12" s="36"/>
      <c r="M12" s="36"/>
      <c r="N12" s="27" t="str">
        <f aca="false">IF(OR(L12="",M12="",$G$5="",$G$6=""),"",(L12/$G$5)/(M12/$G$6)^(1/3))</f>
        <v/>
      </c>
      <c r="O12" s="36"/>
      <c r="P12" s="36"/>
      <c r="Q12" s="36"/>
      <c r="R12" s="36"/>
    </row>
    <row r="13" customFormat="false" ht="15" hidden="false" customHeight="true" outlineLevel="0" collapsed="false">
      <c r="B13" s="39" t="n">
        <v>5</v>
      </c>
      <c r="C13" s="30" t="n">
        <v>3.03</v>
      </c>
      <c r="D13" s="30" t="n">
        <v>0.38</v>
      </c>
      <c r="E13" s="30" t="n">
        <v>0.08</v>
      </c>
      <c r="F13" s="12" t="s">
        <v>202</v>
      </c>
      <c r="G13" s="46" t="n">
        <v>0.5</v>
      </c>
      <c r="H13" s="39" t="n">
        <v>200</v>
      </c>
      <c r="I13" s="39" t="n">
        <v>25</v>
      </c>
      <c r="J13" s="46" t="n">
        <v>2</v>
      </c>
      <c r="K13" s="46" t="n">
        <v>21</v>
      </c>
      <c r="L13" s="36"/>
      <c r="M13" s="36"/>
      <c r="N13" s="27" t="str">
        <f aca="false">IF(OR(L13="",M13="",$G$5="",$G$6=""),"",(L13/$G$5)/(M13/$G$6)^(1/3))</f>
        <v/>
      </c>
      <c r="O13" s="36"/>
      <c r="P13" s="36"/>
      <c r="Q13" s="36"/>
      <c r="R13" s="36"/>
    </row>
    <row r="14" customFormat="false" ht="15" hidden="false" customHeight="true" outlineLevel="0" collapsed="false">
      <c r="B14" s="39" t="n">
        <v>6</v>
      </c>
      <c r="C14" s="30" t="n">
        <v>3.03</v>
      </c>
      <c r="D14" s="30" t="n">
        <v>0.38</v>
      </c>
      <c r="E14" s="30" t="n">
        <v>0.12</v>
      </c>
      <c r="F14" s="12" t="s">
        <v>200</v>
      </c>
      <c r="G14" s="46" t="n">
        <v>1</v>
      </c>
      <c r="H14" s="39" t="n">
        <v>200</v>
      </c>
      <c r="I14" s="39" t="n">
        <v>25</v>
      </c>
      <c r="J14" s="46" t="n">
        <v>3</v>
      </c>
      <c r="K14" s="46" t="n">
        <v>19</v>
      </c>
      <c r="L14" s="36"/>
      <c r="M14" s="36"/>
      <c r="N14" s="27" t="str">
        <f aca="false">IF(OR(L14="",M14="",$G$5="",$G$6=""),"",(L14/$G$5)/(M14/$G$6)^(1/3))</f>
        <v/>
      </c>
      <c r="O14" s="36"/>
      <c r="P14" s="36"/>
      <c r="Q14" s="36"/>
      <c r="R14" s="36"/>
    </row>
    <row r="15" customFormat="false" ht="15" hidden="false" customHeight="true" outlineLevel="0" collapsed="false">
      <c r="B15" s="39" t="n">
        <v>7</v>
      </c>
      <c r="C15" s="30" t="n">
        <v>3.03</v>
      </c>
      <c r="D15" s="30" t="n">
        <v>0.53</v>
      </c>
      <c r="E15" s="30" t="n">
        <v>0.04</v>
      </c>
      <c r="F15" s="12" t="s">
        <v>202</v>
      </c>
      <c r="G15" s="46" t="n">
        <v>1</v>
      </c>
      <c r="H15" s="39" t="n">
        <v>200</v>
      </c>
      <c r="I15" s="39" t="n">
        <v>35</v>
      </c>
      <c r="J15" s="46" t="n">
        <v>1.4</v>
      </c>
      <c r="K15" s="46" t="n">
        <v>32.2</v>
      </c>
      <c r="L15" s="36"/>
      <c r="M15" s="36"/>
      <c r="N15" s="27" t="str">
        <f aca="false">IF(OR(L15="",M15="",$G$5="",$G$6=""),"",(L15/$G$5)/(M15/$G$6)^(1/3))</f>
        <v/>
      </c>
      <c r="O15" s="36"/>
      <c r="P15" s="36"/>
      <c r="Q15" s="36"/>
      <c r="R15" s="36"/>
    </row>
    <row r="16" customFormat="false" ht="15" hidden="false" customHeight="true" outlineLevel="0" collapsed="false">
      <c r="B16" s="39" t="n">
        <v>8</v>
      </c>
      <c r="C16" s="30" t="n">
        <v>3.03</v>
      </c>
      <c r="D16" s="30" t="n">
        <v>0.53</v>
      </c>
      <c r="E16" s="30" t="n">
        <v>0.08</v>
      </c>
      <c r="F16" s="12" t="s">
        <v>200</v>
      </c>
      <c r="G16" s="46" t="n">
        <v>2</v>
      </c>
      <c r="H16" s="39" t="n">
        <v>200</v>
      </c>
      <c r="I16" s="39" t="n">
        <v>35</v>
      </c>
      <c r="J16" s="46" t="n">
        <v>2.8</v>
      </c>
      <c r="K16" s="46" t="n">
        <v>29.4</v>
      </c>
      <c r="L16" s="36"/>
      <c r="M16" s="36"/>
      <c r="N16" s="27" t="str">
        <f aca="false">IF(OR(L16="",M16="",$G$5="",$G$6=""),"",(L16/$G$5)/(M16/$G$6)^(1/3))</f>
        <v/>
      </c>
      <c r="O16" s="36"/>
      <c r="P16" s="36"/>
      <c r="Q16" s="36"/>
      <c r="R16" s="36"/>
    </row>
    <row r="17" customFormat="false" ht="15" hidden="false" customHeight="true" outlineLevel="0" collapsed="false">
      <c r="B17" s="39" t="n">
        <v>9</v>
      </c>
      <c r="C17" s="30" t="n">
        <v>3.03</v>
      </c>
      <c r="D17" s="30" t="n">
        <v>0.53</v>
      </c>
      <c r="E17" s="30" t="n">
        <v>0.12</v>
      </c>
      <c r="F17" s="12" t="s">
        <v>201</v>
      </c>
      <c r="G17" s="46" t="n">
        <v>0.5</v>
      </c>
      <c r="H17" s="39" t="n">
        <v>200</v>
      </c>
      <c r="I17" s="39" t="n">
        <v>35</v>
      </c>
      <c r="J17" s="46" t="n">
        <v>4.2</v>
      </c>
      <c r="K17" s="46" t="n">
        <v>26.6</v>
      </c>
      <c r="L17" s="36"/>
      <c r="M17" s="36"/>
      <c r="N17" s="27" t="str">
        <f aca="false">IF(OR(L17="",M17="",$G$5="",$G$6=""),"",(L17/$G$5)/(M17/$G$6)^(1/3))</f>
        <v/>
      </c>
      <c r="O17" s="36"/>
      <c r="P17" s="36"/>
      <c r="Q17" s="36"/>
      <c r="R17" s="36"/>
    </row>
    <row r="18" customFormat="false" ht="15" hidden="false" customHeight="true" outlineLevel="0" collapsed="false">
      <c r="B18" s="39" t="n">
        <v>10</v>
      </c>
      <c r="C18" s="30" t="n">
        <v>4.55</v>
      </c>
      <c r="D18" s="30" t="n">
        <v>0.23</v>
      </c>
      <c r="E18" s="30" t="n">
        <v>0.04</v>
      </c>
      <c r="F18" s="12" t="s">
        <v>201</v>
      </c>
      <c r="G18" s="46" t="n">
        <v>1</v>
      </c>
      <c r="H18" s="39" t="n">
        <v>300</v>
      </c>
      <c r="I18" s="39" t="n">
        <v>15</v>
      </c>
      <c r="J18" s="46" t="n">
        <v>0.6</v>
      </c>
      <c r="K18" s="46" t="n">
        <v>13.8</v>
      </c>
      <c r="L18" s="36"/>
      <c r="M18" s="36"/>
      <c r="N18" s="27" t="str">
        <f aca="false">IF(OR(L18="",M18="",$G$5="",$G$6=""),"",(L18/$G$5)/(M18/$G$6)^(1/3))</f>
        <v/>
      </c>
      <c r="O18" s="36"/>
      <c r="P18" s="36"/>
      <c r="Q18" s="36"/>
      <c r="R18" s="36"/>
    </row>
    <row r="19" customFormat="false" ht="15" hidden="false" customHeight="true" outlineLevel="0" collapsed="false">
      <c r="B19" s="39" t="n">
        <v>11</v>
      </c>
      <c r="C19" s="30" t="n">
        <v>4.55</v>
      </c>
      <c r="D19" s="30" t="n">
        <v>0.23</v>
      </c>
      <c r="E19" s="30" t="n">
        <v>0.08</v>
      </c>
      <c r="F19" s="12" t="s">
        <v>202</v>
      </c>
      <c r="G19" s="46" t="n">
        <v>2</v>
      </c>
      <c r="H19" s="39" t="n">
        <v>300</v>
      </c>
      <c r="I19" s="39" t="n">
        <v>15</v>
      </c>
      <c r="J19" s="46" t="n">
        <v>1.2</v>
      </c>
      <c r="K19" s="46" t="n">
        <v>12.6</v>
      </c>
      <c r="L19" s="36"/>
      <c r="M19" s="36"/>
      <c r="N19" s="27" t="str">
        <f aca="false">IF(OR(L19="",M19="",$G$5="",$G$6=""),"",(L19/$G$5)/(M19/$G$6)^(1/3))</f>
        <v/>
      </c>
      <c r="O19" s="36"/>
      <c r="P19" s="36"/>
      <c r="Q19" s="36"/>
      <c r="R19" s="36"/>
    </row>
    <row r="20" customFormat="false" ht="15" hidden="false" customHeight="true" outlineLevel="0" collapsed="false">
      <c r="B20" s="39" t="n">
        <v>12</v>
      </c>
      <c r="C20" s="30" t="n">
        <v>4.55</v>
      </c>
      <c r="D20" s="30" t="n">
        <v>0.23</v>
      </c>
      <c r="E20" s="30" t="n">
        <v>0.12</v>
      </c>
      <c r="F20" s="12" t="s">
        <v>200</v>
      </c>
      <c r="G20" s="46" t="n">
        <v>0.5</v>
      </c>
      <c r="H20" s="39" t="n">
        <v>300</v>
      </c>
      <c r="I20" s="39" t="n">
        <v>15</v>
      </c>
      <c r="J20" s="46" t="n">
        <v>1.8</v>
      </c>
      <c r="K20" s="46" t="n">
        <v>11.4</v>
      </c>
      <c r="L20" s="36"/>
      <c r="M20" s="36"/>
      <c r="N20" s="27" t="str">
        <f aca="false">IF(OR(L20="",M20="",$G$5="",$G$6=""),"",(L20/$G$5)/(M20/$G$6)^(1/3))</f>
        <v/>
      </c>
      <c r="O20" s="36"/>
      <c r="P20" s="36"/>
      <c r="Q20" s="36"/>
      <c r="R20" s="36"/>
    </row>
    <row r="21" customFormat="false" ht="15" hidden="false" customHeight="true" outlineLevel="0" collapsed="false">
      <c r="B21" s="39" t="n">
        <v>13</v>
      </c>
      <c r="C21" s="30" t="n">
        <v>4.55</v>
      </c>
      <c r="D21" s="30" t="n">
        <v>0.38</v>
      </c>
      <c r="E21" s="30" t="n">
        <v>0.04</v>
      </c>
      <c r="F21" s="12" t="s">
        <v>202</v>
      </c>
      <c r="G21" s="46" t="n">
        <v>0.5</v>
      </c>
      <c r="H21" s="39" t="n">
        <v>300</v>
      </c>
      <c r="I21" s="39" t="n">
        <v>25</v>
      </c>
      <c r="J21" s="46" t="n">
        <v>1</v>
      </c>
      <c r="K21" s="46" t="n">
        <v>23</v>
      </c>
      <c r="L21" s="36"/>
      <c r="M21" s="36"/>
      <c r="N21" s="27" t="str">
        <f aca="false">IF(OR(L21="",M21="",$G$5="",$G$6=""),"",(L21/$G$5)/(M21/$G$6)^(1/3))</f>
        <v/>
      </c>
      <c r="O21" s="36"/>
      <c r="P21" s="36"/>
      <c r="Q21" s="36"/>
      <c r="R21" s="36"/>
    </row>
    <row r="22" customFormat="false" ht="15" hidden="false" customHeight="true" outlineLevel="0" collapsed="false">
      <c r="B22" s="39" t="n">
        <v>14</v>
      </c>
      <c r="C22" s="30" t="n">
        <v>4.55</v>
      </c>
      <c r="D22" s="30" t="n">
        <v>0.38</v>
      </c>
      <c r="E22" s="30" t="n">
        <v>0.08</v>
      </c>
      <c r="F22" s="12" t="s">
        <v>200</v>
      </c>
      <c r="G22" s="46" t="n">
        <v>1</v>
      </c>
      <c r="H22" s="39" t="n">
        <v>300</v>
      </c>
      <c r="I22" s="39" t="n">
        <v>25</v>
      </c>
      <c r="J22" s="46" t="n">
        <v>2</v>
      </c>
      <c r="K22" s="46" t="n">
        <v>21</v>
      </c>
      <c r="L22" s="36"/>
      <c r="M22" s="36"/>
      <c r="N22" s="27" t="str">
        <f aca="false">IF(OR(L22="",M22="",$G$5="",$G$6=""),"",(L22/$G$5)/(M22/$G$6)^(1/3))</f>
        <v/>
      </c>
      <c r="O22" s="36"/>
      <c r="P22" s="36"/>
      <c r="Q22" s="36"/>
      <c r="R22" s="36"/>
    </row>
    <row r="23" customFormat="false" ht="15" hidden="false" customHeight="true" outlineLevel="0" collapsed="false">
      <c r="B23" s="39" t="n">
        <v>15</v>
      </c>
      <c r="C23" s="30" t="n">
        <v>4.55</v>
      </c>
      <c r="D23" s="30" t="n">
        <v>0.38</v>
      </c>
      <c r="E23" s="30" t="n">
        <v>0.12</v>
      </c>
      <c r="F23" s="12" t="s">
        <v>201</v>
      </c>
      <c r="G23" s="46" t="n">
        <v>2</v>
      </c>
      <c r="H23" s="39" t="n">
        <v>300</v>
      </c>
      <c r="I23" s="39" t="n">
        <v>25</v>
      </c>
      <c r="J23" s="46" t="n">
        <v>3</v>
      </c>
      <c r="K23" s="46" t="n">
        <v>19</v>
      </c>
      <c r="L23" s="36"/>
      <c r="M23" s="36"/>
      <c r="N23" s="27" t="str">
        <f aca="false">IF(OR(L23="",M23="",$G$5="",$G$6=""),"",(L23/$G$5)/(M23/$G$6)^(1/3))</f>
        <v/>
      </c>
      <c r="O23" s="36"/>
      <c r="P23" s="36"/>
      <c r="Q23" s="36"/>
      <c r="R23" s="36"/>
    </row>
    <row r="24" customFormat="false" ht="15" hidden="false" customHeight="true" outlineLevel="0" collapsed="false">
      <c r="B24" s="39" t="n">
        <v>16</v>
      </c>
      <c r="C24" s="30" t="n">
        <v>4.55</v>
      </c>
      <c r="D24" s="30" t="n">
        <v>0.53</v>
      </c>
      <c r="E24" s="30" t="n">
        <v>0.04</v>
      </c>
      <c r="F24" s="12" t="s">
        <v>200</v>
      </c>
      <c r="G24" s="46" t="n">
        <v>2</v>
      </c>
      <c r="H24" s="39" t="n">
        <v>300</v>
      </c>
      <c r="I24" s="39" t="n">
        <v>35</v>
      </c>
      <c r="J24" s="46" t="n">
        <v>1.4</v>
      </c>
      <c r="K24" s="46" t="n">
        <v>32.2</v>
      </c>
      <c r="L24" s="36"/>
      <c r="M24" s="36"/>
      <c r="N24" s="27" t="str">
        <f aca="false">IF(OR(L24="",M24="",$G$5="",$G$6=""),"",(L24/$G$5)/(M24/$G$6)^(1/3))</f>
        <v/>
      </c>
      <c r="O24" s="36"/>
      <c r="P24" s="36"/>
      <c r="Q24" s="36"/>
      <c r="R24" s="36"/>
    </row>
    <row r="25" customFormat="false" ht="15" hidden="false" customHeight="true" outlineLevel="0" collapsed="false">
      <c r="B25" s="39" t="n">
        <v>17</v>
      </c>
      <c r="C25" s="30" t="n">
        <v>4.55</v>
      </c>
      <c r="D25" s="30" t="n">
        <v>0.53</v>
      </c>
      <c r="E25" s="30" t="n">
        <v>0.08</v>
      </c>
      <c r="F25" s="12" t="s">
        <v>201</v>
      </c>
      <c r="G25" s="46" t="n">
        <v>0.5</v>
      </c>
      <c r="H25" s="39" t="n">
        <v>300</v>
      </c>
      <c r="I25" s="39" t="n">
        <v>35</v>
      </c>
      <c r="J25" s="46" t="n">
        <v>2.8</v>
      </c>
      <c r="K25" s="46" t="n">
        <v>29.4</v>
      </c>
      <c r="L25" s="36"/>
      <c r="M25" s="36"/>
      <c r="N25" s="27" t="str">
        <f aca="false">IF(OR(L25="",M25="",$G$5="",$G$6=""),"",(L25/$G$5)/(M25/$G$6)^(1/3))</f>
        <v/>
      </c>
      <c r="O25" s="36"/>
      <c r="P25" s="36"/>
      <c r="Q25" s="36"/>
      <c r="R25" s="36"/>
    </row>
    <row r="26" customFormat="false" ht="15" hidden="false" customHeight="true" outlineLevel="0" collapsed="false">
      <c r="B26" s="39" t="n">
        <v>18</v>
      </c>
      <c r="C26" s="30" t="n">
        <v>4.55</v>
      </c>
      <c r="D26" s="30" t="n">
        <v>0.53</v>
      </c>
      <c r="E26" s="30" t="n">
        <v>0.12</v>
      </c>
      <c r="F26" s="12" t="s">
        <v>202</v>
      </c>
      <c r="G26" s="46" t="n">
        <v>1</v>
      </c>
      <c r="H26" s="39" t="n">
        <v>300</v>
      </c>
      <c r="I26" s="39" t="n">
        <v>35</v>
      </c>
      <c r="J26" s="46" t="n">
        <v>4.2</v>
      </c>
      <c r="K26" s="46" t="n">
        <v>26.6</v>
      </c>
      <c r="L26" s="36"/>
      <c r="M26" s="36"/>
      <c r="N26" s="27" t="str">
        <f aca="false">IF(OR(L26="",M26="",$G$5="",$G$6=""),"",(L26/$G$5)/(M26/$G$6)^(1/3))</f>
        <v/>
      </c>
      <c r="O26" s="36"/>
      <c r="P26" s="36"/>
      <c r="Q26" s="36"/>
      <c r="R26" s="36"/>
    </row>
    <row r="27" customFormat="false" ht="15" hidden="false" customHeight="true" outlineLevel="0" collapsed="false">
      <c r="B27" s="39" t="n">
        <v>19</v>
      </c>
      <c r="C27" s="30" t="n">
        <v>6.06</v>
      </c>
      <c r="D27" s="30" t="n">
        <v>0.23</v>
      </c>
      <c r="E27" s="30" t="n">
        <v>0.04</v>
      </c>
      <c r="F27" s="12" t="s">
        <v>202</v>
      </c>
      <c r="G27" s="46" t="n">
        <v>2</v>
      </c>
      <c r="H27" s="39" t="n">
        <v>400</v>
      </c>
      <c r="I27" s="39" t="n">
        <v>15</v>
      </c>
      <c r="J27" s="46" t="n">
        <v>0.6</v>
      </c>
      <c r="K27" s="46" t="n">
        <v>13.8</v>
      </c>
      <c r="L27" s="36"/>
      <c r="M27" s="36"/>
      <c r="N27" s="27" t="str">
        <f aca="false">IF(OR(L27="",M27="",$G$5="",$G$6=""),"",(L27/$G$5)/(M27/$G$6)^(1/3))</f>
        <v/>
      </c>
      <c r="O27" s="36"/>
      <c r="P27" s="36"/>
      <c r="Q27" s="36"/>
      <c r="R27" s="36"/>
    </row>
    <row r="28" customFormat="false" ht="15" hidden="false" customHeight="true" outlineLevel="0" collapsed="false">
      <c r="B28" s="39" t="n">
        <v>20</v>
      </c>
      <c r="C28" s="30" t="n">
        <v>6.06</v>
      </c>
      <c r="D28" s="30" t="n">
        <v>0.23</v>
      </c>
      <c r="E28" s="30" t="n">
        <v>0.08</v>
      </c>
      <c r="F28" s="12" t="s">
        <v>200</v>
      </c>
      <c r="G28" s="46" t="n">
        <v>0.5</v>
      </c>
      <c r="H28" s="39" t="n">
        <v>400</v>
      </c>
      <c r="I28" s="39" t="n">
        <v>15</v>
      </c>
      <c r="J28" s="46" t="n">
        <v>1.2</v>
      </c>
      <c r="K28" s="46" t="n">
        <v>12.6</v>
      </c>
      <c r="L28" s="36"/>
      <c r="M28" s="36"/>
      <c r="N28" s="27" t="str">
        <f aca="false">IF(OR(L28="",M28="",$G$5="",$G$6=""),"",(L28/$G$5)/(M28/$G$6)^(1/3))</f>
        <v/>
      </c>
      <c r="O28" s="36"/>
      <c r="P28" s="36"/>
      <c r="Q28" s="36"/>
      <c r="R28" s="36"/>
    </row>
    <row r="29" customFormat="false" ht="15" hidden="false" customHeight="true" outlineLevel="0" collapsed="false">
      <c r="B29" s="39" t="n">
        <v>21</v>
      </c>
      <c r="C29" s="30" t="n">
        <v>6.06</v>
      </c>
      <c r="D29" s="30" t="n">
        <v>0.23</v>
      </c>
      <c r="E29" s="30" t="n">
        <v>0.12</v>
      </c>
      <c r="F29" s="12" t="s">
        <v>201</v>
      </c>
      <c r="G29" s="46" t="n">
        <v>1</v>
      </c>
      <c r="H29" s="39" t="n">
        <v>400</v>
      </c>
      <c r="I29" s="39" t="n">
        <v>15</v>
      </c>
      <c r="J29" s="46" t="n">
        <v>1.8</v>
      </c>
      <c r="K29" s="46" t="n">
        <v>11.4</v>
      </c>
      <c r="L29" s="36"/>
      <c r="M29" s="36"/>
      <c r="N29" s="27" t="str">
        <f aca="false">IF(OR(L29="",M29="",$G$5="",$G$6=""),"",(L29/$G$5)/(M29/$G$6)^(1/3))</f>
        <v/>
      </c>
      <c r="O29" s="36"/>
      <c r="P29" s="36"/>
      <c r="Q29" s="36"/>
      <c r="R29" s="36"/>
    </row>
    <row r="30" customFormat="false" ht="15" hidden="false" customHeight="true" outlineLevel="0" collapsed="false">
      <c r="B30" s="39" t="n">
        <v>22</v>
      </c>
      <c r="C30" s="30" t="n">
        <v>6.06</v>
      </c>
      <c r="D30" s="30" t="n">
        <v>0.38</v>
      </c>
      <c r="E30" s="30" t="n">
        <v>0.04</v>
      </c>
      <c r="F30" s="12" t="s">
        <v>200</v>
      </c>
      <c r="G30" s="46" t="n">
        <v>1</v>
      </c>
      <c r="H30" s="39" t="n">
        <v>400</v>
      </c>
      <c r="I30" s="39" t="n">
        <v>25</v>
      </c>
      <c r="J30" s="46" t="n">
        <v>1</v>
      </c>
      <c r="K30" s="46" t="n">
        <v>23</v>
      </c>
      <c r="L30" s="36"/>
      <c r="M30" s="36"/>
      <c r="N30" s="27" t="str">
        <f aca="false">IF(OR(L30="",M30="",$G$5="",$G$6=""),"",(L30/$G$5)/(M30/$G$6)^(1/3))</f>
        <v/>
      </c>
      <c r="O30" s="36"/>
      <c r="P30" s="36"/>
      <c r="Q30" s="36"/>
      <c r="R30" s="36"/>
    </row>
    <row r="31" customFormat="false" ht="15" hidden="false" customHeight="true" outlineLevel="0" collapsed="false">
      <c r="B31" s="39" t="n">
        <v>23</v>
      </c>
      <c r="C31" s="30" t="n">
        <v>6.06</v>
      </c>
      <c r="D31" s="30" t="n">
        <v>0.38</v>
      </c>
      <c r="E31" s="30" t="n">
        <v>0.08</v>
      </c>
      <c r="F31" s="12" t="s">
        <v>201</v>
      </c>
      <c r="G31" s="46" t="n">
        <v>2</v>
      </c>
      <c r="H31" s="39" t="n">
        <v>400</v>
      </c>
      <c r="I31" s="39" t="n">
        <v>25</v>
      </c>
      <c r="J31" s="46" t="n">
        <v>2</v>
      </c>
      <c r="K31" s="46" t="n">
        <v>21</v>
      </c>
      <c r="L31" s="36"/>
      <c r="M31" s="36"/>
      <c r="N31" s="27" t="str">
        <f aca="false">IF(OR(L31="",M31="",$G$5="",$G$6=""),"",(L31/$G$5)/(M31/$G$6)^(1/3))</f>
        <v/>
      </c>
      <c r="O31" s="36"/>
      <c r="P31" s="36"/>
      <c r="Q31" s="36"/>
      <c r="R31" s="36"/>
    </row>
    <row r="32" customFormat="false" ht="15" hidden="false" customHeight="true" outlineLevel="0" collapsed="false">
      <c r="B32" s="39" t="n">
        <v>24</v>
      </c>
      <c r="C32" s="30" t="n">
        <v>6.06</v>
      </c>
      <c r="D32" s="30" t="n">
        <v>0.38</v>
      </c>
      <c r="E32" s="30" t="n">
        <v>0.12</v>
      </c>
      <c r="F32" s="12" t="s">
        <v>202</v>
      </c>
      <c r="G32" s="46" t="n">
        <v>0.5</v>
      </c>
      <c r="H32" s="39" t="n">
        <v>400</v>
      </c>
      <c r="I32" s="39" t="n">
        <v>25</v>
      </c>
      <c r="J32" s="46" t="n">
        <v>3</v>
      </c>
      <c r="K32" s="46" t="n">
        <v>19</v>
      </c>
      <c r="L32" s="36"/>
      <c r="M32" s="36"/>
      <c r="N32" s="27" t="str">
        <f aca="false">IF(OR(L32="",M32="",$G$5="",$G$6=""),"",(L32/$G$5)/(M32/$G$6)^(1/3))</f>
        <v/>
      </c>
      <c r="O32" s="36"/>
      <c r="P32" s="36"/>
      <c r="Q32" s="36"/>
      <c r="R32" s="36"/>
    </row>
    <row r="33" customFormat="false" ht="15" hidden="false" customHeight="true" outlineLevel="0" collapsed="false">
      <c r="B33" s="39" t="n">
        <v>25</v>
      </c>
      <c r="C33" s="30" t="n">
        <v>6.06</v>
      </c>
      <c r="D33" s="30" t="n">
        <v>0.53</v>
      </c>
      <c r="E33" s="30" t="n">
        <v>0.04</v>
      </c>
      <c r="F33" s="12" t="s">
        <v>201</v>
      </c>
      <c r="G33" s="46" t="n">
        <v>0.5</v>
      </c>
      <c r="H33" s="39" t="n">
        <v>400</v>
      </c>
      <c r="I33" s="39" t="n">
        <v>35</v>
      </c>
      <c r="J33" s="46" t="n">
        <v>1.4</v>
      </c>
      <c r="K33" s="46" t="n">
        <v>32.2</v>
      </c>
      <c r="L33" s="36"/>
      <c r="M33" s="36"/>
      <c r="N33" s="27" t="str">
        <f aca="false">IF(OR(L33="",M33="",$G$5="",$G$6=""),"",(L33/$G$5)/(M33/$G$6)^(1/3))</f>
        <v/>
      </c>
      <c r="O33" s="36"/>
      <c r="P33" s="36"/>
      <c r="Q33" s="36"/>
      <c r="R33" s="36"/>
    </row>
    <row r="34" customFormat="false" ht="15" hidden="false" customHeight="true" outlineLevel="0" collapsed="false">
      <c r="B34" s="39" t="n">
        <v>26</v>
      </c>
      <c r="C34" s="30" t="n">
        <v>6.06</v>
      </c>
      <c r="D34" s="30" t="n">
        <v>0.53</v>
      </c>
      <c r="E34" s="30" t="n">
        <v>0.08</v>
      </c>
      <c r="F34" s="12" t="s">
        <v>202</v>
      </c>
      <c r="G34" s="46" t="n">
        <v>1</v>
      </c>
      <c r="H34" s="39" t="n">
        <v>400</v>
      </c>
      <c r="I34" s="39" t="n">
        <v>35</v>
      </c>
      <c r="J34" s="46" t="n">
        <v>2.8</v>
      </c>
      <c r="K34" s="46" t="n">
        <v>29.4</v>
      </c>
      <c r="L34" s="36"/>
      <c r="M34" s="36"/>
      <c r="N34" s="27" t="str">
        <f aca="false">IF(OR(L34="",M34="",$G$5="",$G$6=""),"",(L34/$G$5)/(M34/$G$6)^(1/3))</f>
        <v/>
      </c>
      <c r="O34" s="36"/>
      <c r="P34" s="36"/>
      <c r="Q34" s="36"/>
      <c r="R34" s="36"/>
    </row>
    <row r="35" customFormat="false" ht="15" hidden="false" customHeight="true" outlineLevel="0" collapsed="false">
      <c r="B35" s="39" t="n">
        <v>27</v>
      </c>
      <c r="C35" s="30" t="n">
        <v>6.06</v>
      </c>
      <c r="D35" s="30" t="n">
        <v>0.53</v>
      </c>
      <c r="E35" s="30" t="n">
        <v>0.12</v>
      </c>
      <c r="F35" s="12" t="s">
        <v>200</v>
      </c>
      <c r="G35" s="46" t="n">
        <v>2</v>
      </c>
      <c r="H35" s="39" t="n">
        <v>400</v>
      </c>
      <c r="I35" s="39" t="n">
        <v>35</v>
      </c>
      <c r="J35" s="46" t="n">
        <v>4.2</v>
      </c>
      <c r="K35" s="46" t="n">
        <v>26.6</v>
      </c>
      <c r="L35" s="36"/>
      <c r="M35" s="36"/>
      <c r="N35" s="27" t="str">
        <f aca="false">IF(OR(L35="",M35="",$G$5="",$G$6=""),"",(L35/$G$5)/(M35/$G$6)^(1/3))</f>
        <v/>
      </c>
      <c r="O35" s="36"/>
      <c r="P35" s="36"/>
      <c r="Q35" s="36"/>
      <c r="R35" s="36"/>
    </row>
    <row r="37" customFormat="false" ht="30" hidden="false" customHeight="true" outlineLevel="0" collapsed="false">
      <c r="B37" s="13" t="s">
        <v>203</v>
      </c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</row>
  </sheetData>
  <mergeCells count="4">
    <mergeCell ref="B3:R3"/>
    <mergeCell ref="B5:F5"/>
    <mergeCell ref="B6:F6"/>
    <mergeCell ref="B37:R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2026-08-03T11:22:34Z</dcterms:created>
  <dc:creator>openpyxl</dc:creator>
  <dc:description/>
  <dc:language>en-US</dc:language>
  <cp:lastModifiedBy/>
  <dcterms:modified xsi:type="dcterms:W3CDTF">2026-08-03T11:23:04Z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