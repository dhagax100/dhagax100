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Legend" sheetId="1" state="visible" r:id="rId1"/>
    <sheet xmlns:r="http://schemas.openxmlformats.org/officeDocument/2006/relationships" name="Parameter &amp; Run Tracking" sheetId="2" state="visible" r:id="rId2"/>
    <sheet xmlns:r="http://schemas.openxmlformats.org/officeDocument/2006/relationships" name="Grand Output"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Times New Roman"/>
      <b val="1"/>
      <color rgb="FFFFFFFF"/>
      <sz val="12"/>
    </font>
    <font>
      <name val="Times New Roman"/>
      <color rgb="FF000000"/>
      <sz val="12"/>
    </font>
    <font>
      <name val="Times New Roman"/>
      <b val="1"/>
      <color rgb="FF000000"/>
      <sz val="12"/>
    </font>
    <font>
      <name val="Times New Roman"/>
      <b val="1"/>
      <color rgb="FFFFFFFF"/>
      <sz val="11"/>
    </font>
    <font>
      <name val="Times New Roman"/>
      <b val="1"/>
      <color rgb="FF000000"/>
      <sz val="11"/>
    </font>
    <font>
      <name val="Times New Roman"/>
      <color rgb="FF000000"/>
      <sz val="11"/>
    </font>
    <font>
      <name val="Times New Roman"/>
      <sz val="12"/>
    </font>
  </fonts>
  <fills count="10">
    <fill>
      <patternFill/>
    </fill>
    <fill>
      <patternFill patternType="gray125"/>
    </fill>
    <fill>
      <patternFill patternType="solid">
        <fgColor rgb="FF1F4E78"/>
      </patternFill>
    </fill>
    <fill>
      <patternFill patternType="solid">
        <fgColor rgb="FFFFFFFF"/>
      </patternFill>
    </fill>
    <fill>
      <patternFill patternType="solid">
        <fgColor rgb="FFD9E2F3"/>
      </patternFill>
    </fill>
    <fill>
      <patternFill patternType="solid">
        <fgColor rgb="FF203864"/>
      </patternFill>
    </fill>
    <fill>
      <patternFill patternType="solid">
        <fgColor rgb="FFE2EFDA"/>
      </patternFill>
    </fill>
    <fill>
      <patternFill patternType="solid">
        <fgColor rgb="FFFFF2CC"/>
      </patternFill>
    </fill>
    <fill>
      <patternFill patternType="solid">
        <fgColor rgb="FFF2F2F2"/>
      </patternFill>
    </fill>
    <fill>
      <patternFill patternType="solid">
        <fgColor rgb="FFFBE4E4"/>
      </patternFill>
    </fill>
  </fills>
  <borders count="7">
    <border>
      <left/>
      <right/>
      <top/>
      <bottom/>
      <diagonal/>
    </border>
    <border>
      <left style="thin">
        <color rgb="FFB7B7B7"/>
      </left>
      <right style="thin">
        <color rgb="FFB7B7B7"/>
      </right>
      <top style="thin">
        <color rgb="FFB7B7B7"/>
      </top>
      <bottom style="thin">
        <color rgb="FFB7B7B7"/>
      </bottom>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borders>
  <cellStyleXfs count="1">
    <xf numFmtId="0" fontId="0" fillId="0" borderId="0"/>
  </cellStyleXfs>
  <cellXfs count="5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1" fillId="5"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xf>
    <xf numFmtId="0" fontId="2" fillId="3" borderId="1" applyAlignment="1" pivotButton="0" quotePrefix="0" xfId="0">
      <alignment horizontal="left" vertical="center" wrapText="1"/>
    </xf>
    <xf numFmtId="0" fontId="2" fillId="6" borderId="1" applyAlignment="1" pivotButton="0" quotePrefix="0" xfId="0">
      <alignment horizontal="center" vertical="center"/>
    </xf>
    <xf numFmtId="0" fontId="2" fillId="6" borderId="1" applyAlignment="1" pivotButton="0" quotePrefix="0" xfId="0">
      <alignment horizontal="left" vertical="center" wrapText="1"/>
    </xf>
    <xf numFmtId="0" fontId="3" fillId="3" borderId="1" applyAlignment="1" pivotButton="0" quotePrefix="0" xfId="0">
      <alignment horizontal="left" vertical="center" wrapText="1"/>
    </xf>
    <xf numFmtId="0" fontId="2" fillId="7" borderId="1" applyAlignment="1" pivotButton="0" quotePrefix="0" xfId="0">
      <alignment horizontal="center" vertical="center"/>
    </xf>
    <xf numFmtId="0" fontId="2" fillId="7" borderId="1" applyAlignment="1" pivotButton="0" quotePrefix="0" xfId="0">
      <alignment horizontal="left" vertical="center" wrapText="1"/>
    </xf>
    <xf numFmtId="0" fontId="0" fillId="0" borderId="4" pivotButton="0" quotePrefix="0" xfId="0"/>
    <xf numFmtId="0" fontId="0" fillId="0" borderId="5"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0" fillId="0" borderId="6" pivotButton="0" quotePrefix="0" xfId="0"/>
    <xf numFmtId="0" fontId="3" fillId="0" borderId="6" applyAlignment="1" pivotButton="0" quotePrefix="0" xfId="0">
      <alignment horizontal="left" vertical="center" wrapText="1"/>
    </xf>
    <xf numFmtId="0" fontId="2" fillId="6" borderId="1" applyAlignment="1" pivotButton="0" quotePrefix="0" xfId="0">
      <alignment horizontal="center" vertical="center" wrapText="1"/>
    </xf>
    <xf numFmtId="0" fontId="2" fillId="0" borderId="6" applyAlignment="1" pivotButton="0" quotePrefix="0" xfId="0">
      <alignment horizontal="left" vertical="center" wrapText="1"/>
    </xf>
    <xf numFmtId="0" fontId="3" fillId="6"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4" fillId="2" borderId="1" applyAlignment="1" pivotButton="0" quotePrefix="0" xfId="0">
      <alignment horizontal="left" vertical="center" wrapText="1"/>
    </xf>
    <xf numFmtId="0" fontId="5"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center"/>
    </xf>
    <xf numFmtId="0" fontId="6" fillId="9" borderId="1" applyAlignment="1" pivotButton="0" quotePrefix="0" xfId="0">
      <alignment horizontal="center" vertical="center"/>
    </xf>
    <xf numFmtId="0" fontId="6" fillId="9" borderId="1" applyAlignment="1" pivotButton="0" quotePrefix="0" xfId="0">
      <alignment horizontal="left" vertical="center"/>
    </xf>
    <xf numFmtId="0" fontId="6" fillId="3" borderId="1" applyAlignment="1" pivotButton="0" quotePrefix="0" xfId="0">
      <alignment horizontal="left" vertical="center" wrapText="1"/>
    </xf>
    <xf numFmtId="0" fontId="6" fillId="0" borderId="1" applyAlignment="1" pivotButton="0" quotePrefix="0" xfId="0">
      <alignment horizontal="center"/>
    </xf>
    <xf numFmtId="0" fontId="2" fillId="9" borderId="1" applyAlignment="1" pivotButton="0" quotePrefix="0" xfId="0">
      <alignment horizontal="center" vertical="center"/>
    </xf>
    <xf numFmtId="0" fontId="2" fillId="9" borderId="1" applyAlignment="1" pivotButton="0" quotePrefix="0" xfId="0">
      <alignment horizontal="center" vertical="center" wrapText="1"/>
    </xf>
    <xf numFmtId="0" fontId="2" fillId="9" borderId="1" applyAlignment="1" pivotButton="0" quotePrefix="0" xfId="0">
      <alignment horizontal="left"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center"/>
    </xf>
    <xf numFmtId="0" fontId="6" fillId="9" borderId="1" applyAlignment="1" pivotButton="0" quotePrefix="0" xfId="0">
      <alignment horizontal="center" vertical="center"/>
    </xf>
    <xf numFmtId="0" fontId="6" fillId="9" borderId="1" applyAlignment="1" pivotButton="0" quotePrefix="0" xfId="0">
      <alignment horizontal="left" vertical="center"/>
    </xf>
    <xf numFmtId="0" fontId="6" fillId="0" borderId="1" applyAlignment="1" pivotButton="0" quotePrefix="0" xfId="0">
      <alignment horizontal="center" vertical="center"/>
    </xf>
    <xf numFmtId="0" fontId="6" fillId="0" borderId="1" applyAlignment="1" pivotButton="0" quotePrefix="0" xfId="0">
      <alignment horizontal="left" vertical="center"/>
    </xf>
    <xf numFmtId="0" fontId="6" fillId="9" borderId="1" applyAlignment="1" pivotButton="0" quotePrefix="0" xfId="0">
      <alignment horizontal="center" vertical="center"/>
    </xf>
    <xf numFmtId="0" fontId="6" fillId="9" borderId="1" applyAlignment="1" pivotButton="0" quotePrefix="0" xfId="0">
      <alignment horizontal="left" vertical="center"/>
    </xf>
    <xf numFmtId="0" fontId="6" fillId="0" borderId="1" applyAlignment="1" pivotButton="0" quotePrefix="0" xfId="0">
      <alignment horizontal="center" vertical="center"/>
    </xf>
    <xf numFmtId="0" fontId="6" fillId="0" borderId="1" applyAlignment="1" pivotButton="0" quotePrefix="0" xfId="0">
      <alignment horizontal="left" vertical="center"/>
    </xf>
    <xf numFmtId="0" fontId="6" fillId="6" borderId="1" applyAlignment="1" pivotButton="0" quotePrefix="0" xfId="0">
      <alignment horizontal="center" vertical="center"/>
    </xf>
    <xf numFmtId="0" fontId="6" fillId="6" borderId="1" applyAlignment="1" pivotButton="0" quotePrefix="0" xfId="0">
      <alignment horizontal="left" vertical="center"/>
    </xf>
    <xf numFmtId="0" fontId="5" fillId="0" borderId="1" applyAlignment="1" pivotButton="0" quotePrefix="0" xfId="0">
      <alignment horizontal="left" vertical="center"/>
    </xf>
    <xf numFmtId="0" fontId="5" fillId="3" borderId="1" applyAlignment="1" pivotButton="0" quotePrefix="0" xfId="0">
      <alignment horizontal="left" vertical="center" wrapText="1"/>
    </xf>
    <xf numFmtId="0" fontId="6" fillId="6" borderId="1" applyAlignment="1" pivotButton="0" quotePrefix="0" xfId="0">
      <alignment horizontal="center" vertical="center" wrapText="1"/>
    </xf>
    <xf numFmtId="0" fontId="6" fillId="8" borderId="1" applyAlignment="1" pivotButton="0" quotePrefix="0" xfId="0">
      <alignment horizontal="center" vertical="center" wrapText="1"/>
    </xf>
    <xf numFmtId="0" fontId="7" fillId="0" borderId="1" applyAlignment="1" pivotButton="0" quotePrefix="0" xfId="0">
      <alignment horizontal="left" vertical="center" wrapText="1"/>
    </xf>
    <xf numFmtId="0" fontId="6" fillId="6" borderId="1" applyAlignment="1" pivotButton="0" quotePrefix="0" xfId="0">
      <alignment horizontal="left" vertical="center" wrapText="1"/>
    </xf>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400" b="1">
                <a:latin typeface="Arial"/>
              </a:defRPr>
            </a:pPr>
            <a:r>
              <a:rPr sz="1400" b="1">
                <a:latin typeface="Arial"/>
              </a:rPr>
              <a:t>Effect of Promoter Size Ratio on Friction Factor</a:t>
            </a:r>
          </a:p>
        </rich>
      </tx>
    </title>
    <plotArea>
      <lineChart>
        <grouping val="standard"/>
        <ser>
          <idx val="0"/>
          <order val="0"/>
          <tx>
            <strRef>
              <f>'Grand Output'!B39</f>
            </strRef>
          </tx>
          <spPr>
            <a:ln xmlns:a="http://schemas.openxmlformats.org/drawingml/2006/main" w="22225">
              <a:solidFill>
                <a:srgbClr val="FF0000"/>
              </a:solidFill>
              <a:prstDash val="solid"/>
            </a:ln>
          </spPr>
          <marker>
            <symbol val="square"/>
            <size val="7"/>
            <spPr>
              <a:solidFill xmlns:a="http://schemas.openxmlformats.org/drawingml/2006/main">
                <a:srgbClr val="FF0000"/>
              </a:solidFill>
              <a:ln xmlns:a="http://schemas.openxmlformats.org/drawingml/2006/main">
                <a:solidFill>
                  <a:srgbClr val="FF0000"/>
                </a:solidFill>
                <a:prstDash val="solid"/>
              </a:ln>
            </spPr>
          </marker>
          <cat>
            <numRef>
              <f>'Grand Output'!$A$40:$A$45</f>
            </numRef>
          </cat>
          <val>
            <numRef>
              <f>'Grand Output'!$B$40:$B$45</f>
            </numRef>
          </val>
          <smooth val="0"/>
        </ser>
        <ser>
          <idx val="1"/>
          <order val="1"/>
          <tx>
            <strRef>
              <f>'Grand Output'!C39</f>
            </strRef>
          </tx>
          <spPr>
            <a:ln xmlns:a="http://schemas.openxmlformats.org/drawingml/2006/main" w="22225">
              <a:solidFill>
                <a:srgbClr val="000000"/>
              </a:solidFill>
              <a:prstDash val="solid"/>
            </a:ln>
          </spPr>
          <marker>
            <symbol val="circle"/>
            <size val="7"/>
            <spPr>
              <a:solidFill xmlns:a="http://schemas.openxmlformats.org/drawingml/2006/main">
                <a:srgbClr val="000000"/>
              </a:solidFill>
              <a:ln xmlns:a="http://schemas.openxmlformats.org/drawingml/2006/main">
                <a:solidFill>
                  <a:srgbClr val="000000"/>
                </a:solidFill>
                <a:prstDash val="solid"/>
              </a:ln>
            </spPr>
          </marker>
          <cat>
            <numRef>
              <f>'Grand Output'!$A$40:$A$45</f>
            </numRef>
          </cat>
          <val>
            <numRef>
              <f>'Grand Output'!$C$40:$C$45</f>
            </numRef>
          </val>
          <smooth val="0"/>
        </ser>
        <ser>
          <idx val="2"/>
          <order val="2"/>
          <tx>
            <strRef>
              <f>'Grand Output'!D39</f>
            </strRef>
          </tx>
          <spPr>
            <a:ln xmlns:a="http://schemas.openxmlformats.org/drawingml/2006/main" w="22225">
              <a:solidFill>
                <a:srgbClr val="0000FF"/>
              </a:solidFill>
              <a:prstDash val="solid"/>
            </a:ln>
          </spPr>
          <marker>
            <symbol val="diamond"/>
            <size val="7"/>
            <spPr>
              <a:solidFill xmlns:a="http://schemas.openxmlformats.org/drawingml/2006/main">
                <a:srgbClr val="0000FF"/>
              </a:solidFill>
              <a:ln xmlns:a="http://schemas.openxmlformats.org/drawingml/2006/main">
                <a:solidFill>
                  <a:srgbClr val="0000FF"/>
                </a:solidFill>
                <a:prstDash val="solid"/>
              </a:ln>
            </spPr>
          </marker>
          <cat>
            <numRef>
              <f>'Grand Output'!$A$40:$A$45</f>
            </numRef>
          </cat>
          <val>
            <numRef>
              <f>'Grand Output'!$D$40:$D$45</f>
            </numRef>
          </val>
          <smooth val="0"/>
        </ser>
        <axId val="10"/>
        <axId val="100"/>
      </lineChart>
      <catAx>
        <axId val="10"/>
        <scaling>
          <orientation val="minMax"/>
        </scaling>
        <delete val="0"/>
        <axPos val="l"/>
        <title>
          <tx>
            <rich>
              <a:bodyPr xmlns:a="http://schemas.openxmlformats.org/drawingml/2006/main"/>
              <a:p xmlns:a="http://schemas.openxmlformats.org/drawingml/2006/main">
                <a:pPr>
                  <a:defRPr sz="1100" b="1">
                    <a:latin typeface="Arial"/>
                  </a:defRPr>
                </a:pPr>
                <a:r>
                  <a:rPr sz="1100" b="1">
                    <a:latin typeface="Arial"/>
                  </a:rPr>
                  <a:t>Re (Reynolds Number)</a:t>
                </a:r>
              </a:p>
            </rich>
          </tx>
        </title>
        <majorTickMark val="none"/>
        <minorTickMark val="none"/>
        <txPr>
          <a:bodyPr xmlns:a="http://schemas.openxmlformats.org/drawingml/2006/main"/>
          <a:p xmlns:a="http://schemas.openxmlformats.org/drawingml/2006/main">
            <a:pPr>
              <a:defRPr sz="1000" b="0">
                <a:latin typeface="Arial"/>
              </a:defRPr>
            </a:pPr>
            <a:r>
              <a:t>None</a:t>
            </a:r>
          </a:p>
        </txPr>
        <crossAx val="100"/>
        <lblOffset val="100"/>
      </catAx>
      <valAx>
        <axId val="100"/>
        <scaling>
          <orientation val="minMax"/>
        </scaling>
        <delete val="0"/>
        <axPos val="l"/>
        <title>
          <tx>
            <rich>
              <a:bodyPr xmlns:a="http://schemas.openxmlformats.org/drawingml/2006/main"/>
              <a:p xmlns:a="http://schemas.openxmlformats.org/drawingml/2006/main">
                <a:pPr>
                  <a:defRPr sz="1100" b="1">
                    <a:latin typeface="Arial"/>
                  </a:defRPr>
                </a:pPr>
                <a:r>
                  <a:rPr sz="1100" b="1">
                    <a:latin typeface="Arial"/>
                  </a:rPr>
                  <a:t>f / fo</a:t>
                </a:r>
              </a:p>
            </rich>
          </tx>
        </title>
        <majorTickMark val="none"/>
        <minorTickMark val="none"/>
        <txPr>
          <a:bodyPr xmlns:a="http://schemas.openxmlformats.org/drawingml/2006/main"/>
          <a:p xmlns:a="http://schemas.openxmlformats.org/drawingml/2006/main">
            <a:pPr>
              <a:defRPr sz="1000" b="0">
                <a:latin typeface="Arial"/>
              </a:defRPr>
            </a:pPr>
            <a:r>
              <a:t>None</a:t>
            </a:r>
          </a:p>
        </txPr>
        <crossAx val="10"/>
      </valAx>
    </plotArea>
    <legend>
      <legendPos val="tr"/>
      <overlay val="0"/>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sz="1400" b="1">
                <a:latin typeface="Arial"/>
              </a:defRPr>
            </a:pPr>
            <a:r>
              <a:rPr sz="1400" b="1">
                <a:latin typeface="Arial"/>
              </a:rPr>
              <a:t>Effect of Promoter Size Ratio on Nusselt Number</a:t>
            </a:r>
          </a:p>
        </rich>
      </tx>
    </title>
    <plotArea>
      <lineChart>
        <grouping val="standard"/>
        <ser>
          <idx val="0"/>
          <order val="0"/>
          <tx>
            <strRef>
              <f>'Grand Output'!E39</f>
            </strRef>
          </tx>
          <spPr>
            <a:ln xmlns:a="http://schemas.openxmlformats.org/drawingml/2006/main" w="22225">
              <a:solidFill>
                <a:srgbClr val="FF0000"/>
              </a:solidFill>
              <a:prstDash val="solid"/>
            </a:ln>
          </spPr>
          <marker>
            <symbol val="square"/>
            <size val="7"/>
            <spPr>
              <a:solidFill xmlns:a="http://schemas.openxmlformats.org/drawingml/2006/main">
                <a:srgbClr val="FF0000"/>
              </a:solidFill>
              <a:ln xmlns:a="http://schemas.openxmlformats.org/drawingml/2006/main">
                <a:solidFill>
                  <a:srgbClr val="FF0000"/>
                </a:solidFill>
                <a:prstDash val="solid"/>
              </a:ln>
            </spPr>
          </marker>
          <cat>
            <numRef>
              <f>'Grand Output'!$A$40:$A$45</f>
            </numRef>
          </cat>
          <val>
            <numRef>
              <f>'Grand Output'!$E$40:$E$45</f>
            </numRef>
          </val>
          <smooth val="0"/>
        </ser>
        <ser>
          <idx val="1"/>
          <order val="1"/>
          <tx>
            <strRef>
              <f>'Grand Output'!F39</f>
            </strRef>
          </tx>
          <spPr>
            <a:ln xmlns:a="http://schemas.openxmlformats.org/drawingml/2006/main" w="22225">
              <a:solidFill>
                <a:srgbClr val="000000"/>
              </a:solidFill>
              <a:prstDash val="solid"/>
            </a:ln>
          </spPr>
          <marker>
            <symbol val="circle"/>
            <size val="7"/>
            <spPr>
              <a:solidFill xmlns:a="http://schemas.openxmlformats.org/drawingml/2006/main">
                <a:srgbClr val="000000"/>
              </a:solidFill>
              <a:ln xmlns:a="http://schemas.openxmlformats.org/drawingml/2006/main">
                <a:solidFill>
                  <a:srgbClr val="000000"/>
                </a:solidFill>
                <a:prstDash val="solid"/>
              </a:ln>
            </spPr>
          </marker>
          <cat>
            <numRef>
              <f>'Grand Output'!$A$40:$A$45</f>
            </numRef>
          </cat>
          <val>
            <numRef>
              <f>'Grand Output'!$F$40:$F$45</f>
            </numRef>
          </val>
          <smooth val="0"/>
        </ser>
        <ser>
          <idx val="2"/>
          <order val="2"/>
          <tx>
            <strRef>
              <f>'Grand Output'!G39</f>
            </strRef>
          </tx>
          <spPr>
            <a:ln xmlns:a="http://schemas.openxmlformats.org/drawingml/2006/main" w="22225">
              <a:solidFill>
                <a:srgbClr val="0000FF"/>
              </a:solidFill>
              <a:prstDash val="solid"/>
            </a:ln>
          </spPr>
          <marker>
            <symbol val="diamond"/>
            <size val="7"/>
            <spPr>
              <a:solidFill xmlns:a="http://schemas.openxmlformats.org/drawingml/2006/main">
                <a:srgbClr val="0000FF"/>
              </a:solidFill>
              <a:ln xmlns:a="http://schemas.openxmlformats.org/drawingml/2006/main">
                <a:solidFill>
                  <a:srgbClr val="0000FF"/>
                </a:solidFill>
                <a:prstDash val="solid"/>
              </a:ln>
            </spPr>
          </marker>
          <cat>
            <numRef>
              <f>'Grand Output'!$A$40:$A$45</f>
            </numRef>
          </cat>
          <val>
            <numRef>
              <f>'Grand Output'!$G$40:$G$45</f>
            </numRef>
          </val>
          <smooth val="0"/>
        </ser>
        <axId val="10"/>
        <axId val="100"/>
      </lineChart>
      <catAx>
        <axId val="10"/>
        <scaling>
          <orientation val="minMax"/>
        </scaling>
        <delete val="0"/>
        <axPos val="l"/>
        <title>
          <tx>
            <rich>
              <a:bodyPr xmlns:a="http://schemas.openxmlformats.org/drawingml/2006/main"/>
              <a:p xmlns:a="http://schemas.openxmlformats.org/drawingml/2006/main">
                <a:pPr>
                  <a:defRPr sz="1100" b="1">
                    <a:latin typeface="Arial"/>
                  </a:defRPr>
                </a:pPr>
                <a:r>
                  <a:rPr sz="1100" b="1">
                    <a:latin typeface="Arial"/>
                  </a:rPr>
                  <a:t>Re (Reynolds Number)</a:t>
                </a:r>
              </a:p>
            </rich>
          </tx>
        </title>
        <majorTickMark val="none"/>
        <minorTickMark val="none"/>
        <txPr>
          <a:bodyPr xmlns:a="http://schemas.openxmlformats.org/drawingml/2006/main"/>
          <a:p xmlns:a="http://schemas.openxmlformats.org/drawingml/2006/main">
            <a:pPr>
              <a:defRPr sz="1000" b="0">
                <a:latin typeface="Arial"/>
              </a:defRPr>
            </a:pPr>
            <a:r>
              <a:t>None</a:t>
            </a:r>
          </a:p>
        </txPr>
        <crossAx val="100"/>
        <lblOffset val="100"/>
      </catAx>
      <valAx>
        <axId val="100"/>
        <scaling>
          <orientation val="minMax"/>
        </scaling>
        <delete val="0"/>
        <axPos val="l"/>
        <title>
          <tx>
            <rich>
              <a:bodyPr xmlns:a="http://schemas.openxmlformats.org/drawingml/2006/main"/>
              <a:p xmlns:a="http://schemas.openxmlformats.org/drawingml/2006/main">
                <a:pPr>
                  <a:defRPr sz="1100" b="1">
                    <a:latin typeface="Arial"/>
                  </a:defRPr>
                </a:pPr>
                <a:r>
                  <a:rPr sz="1100" b="1">
                    <a:latin typeface="Arial"/>
                  </a:rPr>
                  <a:t>Nu / Nuo</a:t>
                </a:r>
              </a:p>
            </rich>
          </tx>
        </title>
        <majorTickMark val="none"/>
        <minorTickMark val="none"/>
        <txPr>
          <a:bodyPr xmlns:a="http://schemas.openxmlformats.org/drawingml/2006/main"/>
          <a:p xmlns:a="http://schemas.openxmlformats.org/drawingml/2006/main">
            <a:pPr>
              <a:defRPr sz="1000" b="0">
                <a:latin typeface="Arial"/>
              </a:defRPr>
            </a:pPr>
            <a:r>
              <a:t>None</a:t>
            </a:r>
          </a:p>
        </txPr>
        <crossAx val="10"/>
      </valAx>
    </plotArea>
    <legend>
      <legendPos val="tr"/>
      <overlay val="0"/>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sz="1400" b="1">
                <a:latin typeface="Arial"/>
              </a:defRPr>
            </a:pPr>
            <a:r>
              <a:rPr sz="1400" b="1">
                <a:latin typeface="Arial"/>
              </a:rPr>
              <a:t>Effect of Promoter Size Ratio on PEC</a:t>
            </a:r>
          </a:p>
        </rich>
      </tx>
    </title>
    <plotArea>
      <lineChart>
        <grouping val="standard"/>
        <ser>
          <idx val="0"/>
          <order val="0"/>
          <tx>
            <strRef>
              <f>'Grand Output'!H39</f>
            </strRef>
          </tx>
          <spPr>
            <a:ln xmlns:a="http://schemas.openxmlformats.org/drawingml/2006/main" w="22225">
              <a:solidFill>
                <a:srgbClr val="FF0000"/>
              </a:solidFill>
              <a:prstDash val="solid"/>
            </a:ln>
          </spPr>
          <marker>
            <symbol val="square"/>
            <size val="7"/>
            <spPr>
              <a:solidFill xmlns:a="http://schemas.openxmlformats.org/drawingml/2006/main">
                <a:srgbClr val="FF0000"/>
              </a:solidFill>
              <a:ln xmlns:a="http://schemas.openxmlformats.org/drawingml/2006/main">
                <a:solidFill>
                  <a:srgbClr val="FF0000"/>
                </a:solidFill>
                <a:prstDash val="solid"/>
              </a:ln>
            </spPr>
          </marker>
          <cat>
            <numRef>
              <f>'Grand Output'!$A$40:$A$45</f>
            </numRef>
          </cat>
          <val>
            <numRef>
              <f>'Grand Output'!$H$40:$H$45</f>
            </numRef>
          </val>
          <smooth val="0"/>
        </ser>
        <ser>
          <idx val="1"/>
          <order val="1"/>
          <tx>
            <strRef>
              <f>'Grand Output'!I39</f>
            </strRef>
          </tx>
          <spPr>
            <a:ln xmlns:a="http://schemas.openxmlformats.org/drawingml/2006/main" w="22225">
              <a:solidFill>
                <a:srgbClr val="000000"/>
              </a:solidFill>
              <a:prstDash val="solid"/>
            </a:ln>
          </spPr>
          <marker>
            <symbol val="circle"/>
            <size val="7"/>
            <spPr>
              <a:solidFill xmlns:a="http://schemas.openxmlformats.org/drawingml/2006/main">
                <a:srgbClr val="000000"/>
              </a:solidFill>
              <a:ln xmlns:a="http://schemas.openxmlformats.org/drawingml/2006/main">
                <a:solidFill>
                  <a:srgbClr val="000000"/>
                </a:solidFill>
                <a:prstDash val="solid"/>
              </a:ln>
            </spPr>
          </marker>
          <cat>
            <numRef>
              <f>'Grand Output'!$A$40:$A$45</f>
            </numRef>
          </cat>
          <val>
            <numRef>
              <f>'Grand Output'!$I$40:$I$45</f>
            </numRef>
          </val>
          <smooth val="0"/>
        </ser>
        <ser>
          <idx val="2"/>
          <order val="2"/>
          <tx>
            <strRef>
              <f>'Grand Output'!J39</f>
            </strRef>
          </tx>
          <spPr>
            <a:ln xmlns:a="http://schemas.openxmlformats.org/drawingml/2006/main" w="22225">
              <a:solidFill>
                <a:srgbClr val="0000FF"/>
              </a:solidFill>
              <a:prstDash val="solid"/>
            </a:ln>
          </spPr>
          <marker>
            <symbol val="diamond"/>
            <size val="7"/>
            <spPr>
              <a:solidFill xmlns:a="http://schemas.openxmlformats.org/drawingml/2006/main">
                <a:srgbClr val="0000FF"/>
              </a:solidFill>
              <a:ln xmlns:a="http://schemas.openxmlformats.org/drawingml/2006/main">
                <a:solidFill>
                  <a:srgbClr val="0000FF"/>
                </a:solidFill>
                <a:prstDash val="solid"/>
              </a:ln>
            </spPr>
          </marker>
          <cat>
            <numRef>
              <f>'Grand Output'!$A$40:$A$45</f>
            </numRef>
          </cat>
          <val>
            <numRef>
              <f>'Grand Output'!$J$40:$J$45</f>
            </numRef>
          </val>
          <smooth val="0"/>
        </ser>
        <axId val="10"/>
        <axId val="100"/>
      </lineChart>
      <catAx>
        <axId val="10"/>
        <scaling>
          <orientation val="minMax"/>
        </scaling>
        <delete val="0"/>
        <axPos val="l"/>
        <title>
          <tx>
            <rich>
              <a:bodyPr xmlns:a="http://schemas.openxmlformats.org/drawingml/2006/main"/>
              <a:p xmlns:a="http://schemas.openxmlformats.org/drawingml/2006/main">
                <a:pPr>
                  <a:defRPr sz="1100" b="1">
                    <a:latin typeface="Arial"/>
                  </a:defRPr>
                </a:pPr>
                <a:r>
                  <a:rPr sz="1100" b="1">
                    <a:latin typeface="Arial"/>
                  </a:rPr>
                  <a:t>Re (Reynolds Number)</a:t>
                </a:r>
              </a:p>
            </rich>
          </tx>
        </title>
        <majorTickMark val="none"/>
        <minorTickMark val="none"/>
        <txPr>
          <a:bodyPr xmlns:a="http://schemas.openxmlformats.org/drawingml/2006/main"/>
          <a:p xmlns:a="http://schemas.openxmlformats.org/drawingml/2006/main">
            <a:pPr>
              <a:defRPr sz="1000" b="0">
                <a:latin typeface="Arial"/>
              </a:defRPr>
            </a:pPr>
            <a:r>
              <a:t>None</a:t>
            </a:r>
          </a:p>
        </txPr>
        <crossAx val="100"/>
        <lblOffset val="100"/>
      </catAx>
      <valAx>
        <axId val="100"/>
        <scaling>
          <orientation val="minMax"/>
        </scaling>
        <delete val="0"/>
        <axPos val="l"/>
        <title>
          <tx>
            <rich>
              <a:bodyPr xmlns:a="http://schemas.openxmlformats.org/drawingml/2006/main"/>
              <a:p xmlns:a="http://schemas.openxmlformats.org/drawingml/2006/main">
                <a:pPr>
                  <a:defRPr sz="1100" b="1">
                    <a:latin typeface="Arial"/>
                  </a:defRPr>
                </a:pPr>
                <a:r>
                  <a:rPr sz="1100" b="1">
                    <a:latin typeface="Arial"/>
                  </a:rPr>
                  <a:t>PEC</a:t>
                </a:r>
              </a:p>
            </rich>
          </tx>
        </title>
        <majorTickMark val="none"/>
        <minorTickMark val="none"/>
        <txPr>
          <a:bodyPr xmlns:a="http://schemas.openxmlformats.org/drawingml/2006/main"/>
          <a:p xmlns:a="http://schemas.openxmlformats.org/drawingml/2006/main">
            <a:pPr>
              <a:defRPr sz="1000" b="0">
                <a:latin typeface="Arial"/>
              </a:defRPr>
            </a:pPr>
            <a:r>
              <a:t>None</a:t>
            </a:r>
          </a:p>
        </txPr>
        <crossAx val="10"/>
      </valAx>
    </plotArea>
    <legend>
      <legendPos val="tr"/>
      <overlay val="0"/>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sz="1400" b="1">
                <a:latin typeface="Arial"/>
              </a:defRPr>
            </a:pPr>
            <a:r>
              <a:rPr sz="1400" b="1">
                <a:latin typeface="Arial"/>
              </a:rPr>
              <a:t>Effect of Wall Thickness Ratio on Friction Factor</a:t>
            </a:r>
          </a:p>
        </rich>
      </tx>
    </title>
    <plotArea>
      <lineChart>
        <grouping val="standard"/>
        <ser>
          <idx val="0"/>
          <order val="0"/>
          <tx>
            <strRef>
              <f>'Grand Output'!B52</f>
            </strRef>
          </tx>
          <spPr>
            <a:ln xmlns:a="http://schemas.openxmlformats.org/drawingml/2006/main" w="22225">
              <a:solidFill>
                <a:srgbClr val="FF0000"/>
              </a:solidFill>
              <a:prstDash val="solid"/>
            </a:ln>
          </spPr>
          <marker>
            <symbol val="square"/>
            <size val="7"/>
            <spPr>
              <a:solidFill xmlns:a="http://schemas.openxmlformats.org/drawingml/2006/main">
                <a:srgbClr val="FF0000"/>
              </a:solidFill>
              <a:ln xmlns:a="http://schemas.openxmlformats.org/drawingml/2006/main">
                <a:solidFill>
                  <a:srgbClr val="FF0000"/>
                </a:solidFill>
                <a:prstDash val="solid"/>
              </a:ln>
            </spPr>
          </marker>
          <cat>
            <numRef>
              <f>'Grand Output'!$A$53:$A$58</f>
            </numRef>
          </cat>
          <val>
            <numRef>
              <f>'Grand Output'!$B$53:$B$58</f>
            </numRef>
          </val>
          <smooth val="0"/>
        </ser>
        <ser>
          <idx val="1"/>
          <order val="1"/>
          <tx>
            <strRef>
              <f>'Grand Output'!C52</f>
            </strRef>
          </tx>
          <spPr>
            <a:ln xmlns:a="http://schemas.openxmlformats.org/drawingml/2006/main" w="22225">
              <a:solidFill>
                <a:srgbClr val="0000FF"/>
              </a:solidFill>
              <a:prstDash val="solid"/>
            </a:ln>
          </spPr>
          <marker>
            <symbol val="diamond"/>
            <size val="7"/>
            <spPr>
              <a:solidFill xmlns:a="http://schemas.openxmlformats.org/drawingml/2006/main">
                <a:srgbClr val="0000FF"/>
              </a:solidFill>
              <a:ln xmlns:a="http://schemas.openxmlformats.org/drawingml/2006/main">
                <a:solidFill>
                  <a:srgbClr val="0000FF"/>
                </a:solidFill>
                <a:prstDash val="solid"/>
              </a:ln>
            </spPr>
          </marker>
          <cat>
            <numRef>
              <f>'Grand Output'!$A$53:$A$58</f>
            </numRef>
          </cat>
          <val>
            <numRef>
              <f>'Grand Output'!$C$53:$C$58</f>
            </numRef>
          </val>
          <smooth val="0"/>
        </ser>
        <ser>
          <idx val="2"/>
          <order val="2"/>
          <tx>
            <strRef>
              <f>'Grand Output'!D52</f>
            </strRef>
          </tx>
          <spPr>
            <a:ln xmlns:a="http://schemas.openxmlformats.org/drawingml/2006/main" w="22225">
              <a:solidFill>
                <a:srgbClr val="000000"/>
              </a:solidFill>
              <a:prstDash val="solid"/>
            </a:ln>
          </spPr>
          <marker>
            <symbol val="circle"/>
            <size val="7"/>
            <spPr>
              <a:solidFill xmlns:a="http://schemas.openxmlformats.org/drawingml/2006/main">
                <a:srgbClr val="000000"/>
              </a:solidFill>
              <a:ln xmlns:a="http://schemas.openxmlformats.org/drawingml/2006/main">
                <a:solidFill>
                  <a:srgbClr val="000000"/>
                </a:solidFill>
                <a:prstDash val="solid"/>
              </a:ln>
            </spPr>
          </marker>
          <cat>
            <numRef>
              <f>'Grand Output'!$A$53:$A$58</f>
            </numRef>
          </cat>
          <val>
            <numRef>
              <f>'Grand Output'!$D$53:$D$58</f>
            </numRef>
          </val>
          <smooth val="0"/>
        </ser>
        <axId val="10"/>
        <axId val="100"/>
      </lineChart>
      <catAx>
        <axId val="10"/>
        <scaling>
          <orientation val="minMax"/>
        </scaling>
        <delete val="0"/>
        <axPos val="l"/>
        <title>
          <tx>
            <rich>
              <a:bodyPr xmlns:a="http://schemas.openxmlformats.org/drawingml/2006/main"/>
              <a:p xmlns:a="http://schemas.openxmlformats.org/drawingml/2006/main">
                <a:pPr>
                  <a:defRPr sz="1100" b="1">
                    <a:latin typeface="Arial"/>
                  </a:defRPr>
                </a:pPr>
                <a:r>
                  <a:rPr sz="1100" b="1">
                    <a:latin typeface="Arial"/>
                  </a:rPr>
                  <a:t>Re (Reynolds Number)</a:t>
                </a:r>
              </a:p>
            </rich>
          </tx>
        </title>
        <majorTickMark val="none"/>
        <minorTickMark val="none"/>
        <txPr>
          <a:bodyPr xmlns:a="http://schemas.openxmlformats.org/drawingml/2006/main"/>
          <a:p xmlns:a="http://schemas.openxmlformats.org/drawingml/2006/main">
            <a:pPr>
              <a:defRPr sz="1000" b="0">
                <a:latin typeface="Arial"/>
              </a:defRPr>
            </a:pPr>
            <a:r>
              <a:t>None</a:t>
            </a:r>
          </a:p>
        </txPr>
        <crossAx val="100"/>
        <lblOffset val="100"/>
      </catAx>
      <valAx>
        <axId val="100"/>
        <scaling>
          <orientation val="minMax"/>
        </scaling>
        <delete val="0"/>
        <axPos val="l"/>
        <title>
          <tx>
            <rich>
              <a:bodyPr xmlns:a="http://schemas.openxmlformats.org/drawingml/2006/main"/>
              <a:p xmlns:a="http://schemas.openxmlformats.org/drawingml/2006/main">
                <a:pPr>
                  <a:defRPr sz="1100" b="1">
                    <a:latin typeface="Arial"/>
                  </a:defRPr>
                </a:pPr>
                <a:r>
                  <a:rPr sz="1100" b="1">
                    <a:latin typeface="Arial"/>
                  </a:rPr>
                  <a:t>f / fo</a:t>
                </a:r>
              </a:p>
            </rich>
          </tx>
        </title>
        <majorTickMark val="none"/>
        <minorTickMark val="none"/>
        <txPr>
          <a:bodyPr xmlns:a="http://schemas.openxmlformats.org/drawingml/2006/main"/>
          <a:p xmlns:a="http://schemas.openxmlformats.org/drawingml/2006/main">
            <a:pPr>
              <a:defRPr sz="1000" b="0">
                <a:latin typeface="Arial"/>
              </a:defRPr>
            </a:pPr>
            <a:r>
              <a:t>None</a:t>
            </a:r>
          </a:p>
        </txPr>
        <crossAx val="10"/>
      </valAx>
    </plotArea>
    <legend>
      <legendPos val="tr"/>
      <overlay val="0"/>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sz="1400" b="1">
                <a:latin typeface="Arial"/>
              </a:defRPr>
            </a:pPr>
            <a:r>
              <a:rPr sz="1400" b="1">
                <a:latin typeface="Arial"/>
              </a:rPr>
              <a:t>Effect of Wall Thickness Ratio on Nusselt Number</a:t>
            </a:r>
          </a:p>
        </rich>
      </tx>
    </title>
    <plotArea>
      <lineChart>
        <grouping val="standard"/>
        <ser>
          <idx val="0"/>
          <order val="0"/>
          <tx>
            <strRef>
              <f>'Grand Output'!E52</f>
            </strRef>
          </tx>
          <spPr>
            <a:ln xmlns:a="http://schemas.openxmlformats.org/drawingml/2006/main" w="22225">
              <a:solidFill>
                <a:srgbClr val="FF0000"/>
              </a:solidFill>
              <a:prstDash val="solid"/>
            </a:ln>
          </spPr>
          <marker>
            <symbol val="square"/>
            <size val="7"/>
            <spPr>
              <a:solidFill xmlns:a="http://schemas.openxmlformats.org/drawingml/2006/main">
                <a:srgbClr val="FF0000"/>
              </a:solidFill>
              <a:ln xmlns:a="http://schemas.openxmlformats.org/drawingml/2006/main">
                <a:solidFill>
                  <a:srgbClr val="FF0000"/>
                </a:solidFill>
                <a:prstDash val="solid"/>
              </a:ln>
            </spPr>
          </marker>
          <cat>
            <numRef>
              <f>'Grand Output'!$A$53:$A$58</f>
            </numRef>
          </cat>
          <val>
            <numRef>
              <f>'Grand Output'!$E$53:$E$58</f>
            </numRef>
          </val>
          <smooth val="0"/>
        </ser>
        <ser>
          <idx val="1"/>
          <order val="1"/>
          <tx>
            <strRef>
              <f>'Grand Output'!F52</f>
            </strRef>
          </tx>
          <spPr>
            <a:ln xmlns:a="http://schemas.openxmlformats.org/drawingml/2006/main" w="22225">
              <a:solidFill>
                <a:srgbClr val="0000FF"/>
              </a:solidFill>
              <a:prstDash val="solid"/>
            </a:ln>
          </spPr>
          <marker>
            <symbol val="diamond"/>
            <size val="7"/>
            <spPr>
              <a:solidFill xmlns:a="http://schemas.openxmlformats.org/drawingml/2006/main">
                <a:srgbClr val="0000FF"/>
              </a:solidFill>
              <a:ln xmlns:a="http://schemas.openxmlformats.org/drawingml/2006/main">
                <a:solidFill>
                  <a:srgbClr val="0000FF"/>
                </a:solidFill>
                <a:prstDash val="solid"/>
              </a:ln>
            </spPr>
          </marker>
          <cat>
            <numRef>
              <f>'Grand Output'!$A$53:$A$58</f>
            </numRef>
          </cat>
          <val>
            <numRef>
              <f>'Grand Output'!$F$53:$F$58</f>
            </numRef>
          </val>
          <smooth val="0"/>
        </ser>
        <ser>
          <idx val="2"/>
          <order val="2"/>
          <tx>
            <strRef>
              <f>'Grand Output'!G52</f>
            </strRef>
          </tx>
          <spPr>
            <a:ln xmlns:a="http://schemas.openxmlformats.org/drawingml/2006/main" w="22225">
              <a:solidFill>
                <a:srgbClr val="000000"/>
              </a:solidFill>
              <a:prstDash val="solid"/>
            </a:ln>
          </spPr>
          <marker>
            <symbol val="circle"/>
            <size val="7"/>
            <spPr>
              <a:solidFill xmlns:a="http://schemas.openxmlformats.org/drawingml/2006/main">
                <a:srgbClr val="000000"/>
              </a:solidFill>
              <a:ln xmlns:a="http://schemas.openxmlformats.org/drawingml/2006/main">
                <a:solidFill>
                  <a:srgbClr val="000000"/>
                </a:solidFill>
                <a:prstDash val="solid"/>
              </a:ln>
            </spPr>
          </marker>
          <cat>
            <numRef>
              <f>'Grand Output'!$A$53:$A$58</f>
            </numRef>
          </cat>
          <val>
            <numRef>
              <f>'Grand Output'!$G$53:$G$58</f>
            </numRef>
          </val>
          <smooth val="0"/>
        </ser>
        <axId val="10"/>
        <axId val="100"/>
      </lineChart>
      <catAx>
        <axId val="10"/>
        <scaling>
          <orientation val="minMax"/>
        </scaling>
        <delete val="0"/>
        <axPos val="l"/>
        <title>
          <tx>
            <rich>
              <a:bodyPr xmlns:a="http://schemas.openxmlformats.org/drawingml/2006/main"/>
              <a:p xmlns:a="http://schemas.openxmlformats.org/drawingml/2006/main">
                <a:pPr>
                  <a:defRPr sz="1100" b="1">
                    <a:latin typeface="Arial"/>
                  </a:defRPr>
                </a:pPr>
                <a:r>
                  <a:rPr sz="1100" b="1">
                    <a:latin typeface="Arial"/>
                  </a:rPr>
                  <a:t>Re (Reynolds Number)</a:t>
                </a:r>
              </a:p>
            </rich>
          </tx>
        </title>
        <majorTickMark val="none"/>
        <minorTickMark val="none"/>
        <txPr>
          <a:bodyPr xmlns:a="http://schemas.openxmlformats.org/drawingml/2006/main"/>
          <a:p xmlns:a="http://schemas.openxmlformats.org/drawingml/2006/main">
            <a:pPr>
              <a:defRPr sz="1000" b="0">
                <a:latin typeface="Arial"/>
              </a:defRPr>
            </a:pPr>
            <a:r>
              <a:t>None</a:t>
            </a:r>
          </a:p>
        </txPr>
        <crossAx val="100"/>
        <lblOffset val="100"/>
      </catAx>
      <valAx>
        <axId val="100"/>
        <scaling>
          <orientation val="minMax"/>
        </scaling>
        <delete val="0"/>
        <axPos val="l"/>
        <title>
          <tx>
            <rich>
              <a:bodyPr xmlns:a="http://schemas.openxmlformats.org/drawingml/2006/main"/>
              <a:p xmlns:a="http://schemas.openxmlformats.org/drawingml/2006/main">
                <a:pPr>
                  <a:defRPr sz="1100" b="1">
                    <a:latin typeface="Arial"/>
                  </a:defRPr>
                </a:pPr>
                <a:r>
                  <a:rPr sz="1100" b="1">
                    <a:latin typeface="Arial"/>
                  </a:rPr>
                  <a:t>Nu / Nuo</a:t>
                </a:r>
              </a:p>
            </rich>
          </tx>
        </title>
        <majorTickMark val="none"/>
        <minorTickMark val="none"/>
        <txPr>
          <a:bodyPr xmlns:a="http://schemas.openxmlformats.org/drawingml/2006/main"/>
          <a:p xmlns:a="http://schemas.openxmlformats.org/drawingml/2006/main">
            <a:pPr>
              <a:defRPr sz="1000" b="0">
                <a:latin typeface="Arial"/>
              </a:defRPr>
            </a:pPr>
            <a:r>
              <a:t>None</a:t>
            </a:r>
          </a:p>
        </txPr>
        <crossAx val="10"/>
      </valAx>
    </plotArea>
    <legend>
      <legendPos val="tr"/>
      <overlay val="0"/>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sz="1400" b="1">
                <a:latin typeface="Arial"/>
              </a:defRPr>
            </a:pPr>
            <a:r>
              <a:rPr sz="1400" b="1">
                <a:latin typeface="Arial"/>
              </a:rPr>
              <a:t>Effect of Wall Thickness Ratio on PEC</a:t>
            </a:r>
          </a:p>
        </rich>
      </tx>
    </title>
    <plotArea>
      <lineChart>
        <grouping val="standard"/>
        <ser>
          <idx val="0"/>
          <order val="0"/>
          <tx>
            <strRef>
              <f>'Grand Output'!H52</f>
            </strRef>
          </tx>
          <spPr>
            <a:ln xmlns:a="http://schemas.openxmlformats.org/drawingml/2006/main" w="22225">
              <a:solidFill>
                <a:srgbClr val="FF0000"/>
              </a:solidFill>
              <a:prstDash val="solid"/>
            </a:ln>
          </spPr>
          <marker>
            <symbol val="square"/>
            <size val="7"/>
            <spPr>
              <a:solidFill xmlns:a="http://schemas.openxmlformats.org/drawingml/2006/main">
                <a:srgbClr val="FF0000"/>
              </a:solidFill>
              <a:ln xmlns:a="http://schemas.openxmlformats.org/drawingml/2006/main">
                <a:solidFill>
                  <a:srgbClr val="FF0000"/>
                </a:solidFill>
                <a:prstDash val="solid"/>
              </a:ln>
            </spPr>
          </marker>
          <cat>
            <numRef>
              <f>'Grand Output'!$A$53:$A$58</f>
            </numRef>
          </cat>
          <val>
            <numRef>
              <f>'Grand Output'!$H$53:$H$58</f>
            </numRef>
          </val>
          <smooth val="0"/>
        </ser>
        <ser>
          <idx val="1"/>
          <order val="1"/>
          <tx>
            <strRef>
              <f>'Grand Output'!I52</f>
            </strRef>
          </tx>
          <spPr>
            <a:ln xmlns:a="http://schemas.openxmlformats.org/drawingml/2006/main" w="22225">
              <a:solidFill>
                <a:srgbClr val="0000FF"/>
              </a:solidFill>
              <a:prstDash val="solid"/>
            </a:ln>
          </spPr>
          <marker>
            <symbol val="diamond"/>
            <size val="7"/>
            <spPr>
              <a:solidFill xmlns:a="http://schemas.openxmlformats.org/drawingml/2006/main">
                <a:srgbClr val="0000FF"/>
              </a:solidFill>
              <a:ln xmlns:a="http://schemas.openxmlformats.org/drawingml/2006/main">
                <a:solidFill>
                  <a:srgbClr val="0000FF"/>
                </a:solidFill>
                <a:prstDash val="solid"/>
              </a:ln>
            </spPr>
          </marker>
          <cat>
            <numRef>
              <f>'Grand Output'!$A$53:$A$58</f>
            </numRef>
          </cat>
          <val>
            <numRef>
              <f>'Grand Output'!$I$53:$I$58</f>
            </numRef>
          </val>
          <smooth val="0"/>
        </ser>
        <ser>
          <idx val="2"/>
          <order val="2"/>
          <tx>
            <strRef>
              <f>'Grand Output'!J52</f>
            </strRef>
          </tx>
          <spPr>
            <a:ln xmlns:a="http://schemas.openxmlformats.org/drawingml/2006/main" w="22225">
              <a:solidFill>
                <a:srgbClr val="000000"/>
              </a:solidFill>
              <a:prstDash val="solid"/>
            </a:ln>
          </spPr>
          <marker>
            <symbol val="circle"/>
            <size val="7"/>
            <spPr>
              <a:solidFill xmlns:a="http://schemas.openxmlformats.org/drawingml/2006/main">
                <a:srgbClr val="000000"/>
              </a:solidFill>
              <a:ln xmlns:a="http://schemas.openxmlformats.org/drawingml/2006/main">
                <a:solidFill>
                  <a:srgbClr val="000000"/>
                </a:solidFill>
                <a:prstDash val="solid"/>
              </a:ln>
            </spPr>
          </marker>
          <cat>
            <numRef>
              <f>'Grand Output'!$A$53:$A$58</f>
            </numRef>
          </cat>
          <val>
            <numRef>
              <f>'Grand Output'!$J$53:$J$58</f>
            </numRef>
          </val>
          <smooth val="0"/>
        </ser>
        <axId val="10"/>
        <axId val="100"/>
      </lineChart>
      <catAx>
        <axId val="10"/>
        <scaling>
          <orientation val="minMax"/>
        </scaling>
        <delete val="0"/>
        <axPos val="l"/>
        <title>
          <tx>
            <rich>
              <a:bodyPr xmlns:a="http://schemas.openxmlformats.org/drawingml/2006/main"/>
              <a:p xmlns:a="http://schemas.openxmlformats.org/drawingml/2006/main">
                <a:pPr>
                  <a:defRPr sz="1100" b="1">
                    <a:latin typeface="Arial"/>
                  </a:defRPr>
                </a:pPr>
                <a:r>
                  <a:rPr sz="1100" b="1">
                    <a:latin typeface="Arial"/>
                  </a:rPr>
                  <a:t>Re (Reynolds Number)</a:t>
                </a:r>
              </a:p>
            </rich>
          </tx>
        </title>
        <majorTickMark val="none"/>
        <minorTickMark val="none"/>
        <txPr>
          <a:bodyPr xmlns:a="http://schemas.openxmlformats.org/drawingml/2006/main"/>
          <a:p xmlns:a="http://schemas.openxmlformats.org/drawingml/2006/main">
            <a:pPr>
              <a:defRPr sz="1000" b="0">
                <a:latin typeface="Arial"/>
              </a:defRPr>
            </a:pPr>
            <a:r>
              <a:t>None</a:t>
            </a:r>
          </a:p>
        </txPr>
        <crossAx val="100"/>
        <lblOffset val="100"/>
      </catAx>
      <valAx>
        <axId val="100"/>
        <scaling>
          <orientation val="minMax"/>
        </scaling>
        <delete val="0"/>
        <axPos val="l"/>
        <title>
          <tx>
            <rich>
              <a:bodyPr xmlns:a="http://schemas.openxmlformats.org/drawingml/2006/main"/>
              <a:p xmlns:a="http://schemas.openxmlformats.org/drawingml/2006/main">
                <a:pPr>
                  <a:defRPr sz="1100" b="1">
                    <a:latin typeface="Arial"/>
                  </a:defRPr>
                </a:pPr>
                <a:r>
                  <a:rPr sz="1100" b="1">
                    <a:latin typeface="Arial"/>
                  </a:rPr>
                  <a:t>PEC</a:t>
                </a:r>
              </a:p>
            </rich>
          </tx>
        </title>
        <majorTickMark val="none"/>
        <minorTickMark val="none"/>
        <txPr>
          <a:bodyPr xmlns:a="http://schemas.openxmlformats.org/drawingml/2006/main"/>
          <a:p xmlns:a="http://schemas.openxmlformats.org/drawingml/2006/main">
            <a:pPr>
              <a:defRPr sz="1000" b="0">
                <a:latin typeface="Arial"/>
              </a:defRPr>
            </a:pPr>
            <a:r>
              <a:t>None</a:t>
            </a:r>
          </a:p>
        </txPr>
        <crossAx val="10"/>
      </valAx>
    </plotArea>
    <legend>
      <legendPos val="tr"/>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drawing1.xml><?xml version="1.0" encoding="utf-8"?>
<wsDr xmlns="http://schemas.openxmlformats.org/drawingml/2006/spreadsheetDrawing">
  <oneCellAnchor>
    <from>
      <col>0</col>
      <colOff>0</colOff>
      <row>63</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80</row>
      <rowOff>0</rowOff>
    </from>
    <ext cx="50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97</row>
      <rowOff>0</rowOff>
    </from>
    <ext cx="504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114</row>
      <rowOff>0</rowOff>
    </from>
    <ext cx="504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131</row>
      <rowOff>0</rowOff>
    </from>
    <ext cx="504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0</col>
      <colOff>0</colOff>
      <row>148</row>
      <rowOff>0</rowOff>
    </from>
    <ext cx="504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120"/>
  <sheetViews>
    <sheetView showGridLines="0" workbookViewId="0">
      <selection activeCell="A1" sqref="A1"/>
    </sheetView>
  </sheetViews>
  <sheetFormatPr baseColWidth="8" defaultRowHeight="15"/>
  <cols>
    <col width="30" customWidth="1" min="1" max="1"/>
    <col width="16" customWidth="1" min="2" max="2"/>
    <col width="14" customWidth="1" min="3" max="3"/>
    <col width="14" customWidth="1" min="4" max="4"/>
    <col width="14" customWidth="1" min="5" max="5"/>
    <col width="36" customWidth="1" min="6" max="6"/>
  </cols>
  <sheetData>
    <row r="1" ht="22" customHeight="1">
      <c r="A1" s="1" t="inlineStr">
        <is>
          <t>PTSC Receiver — Geometry Screening Parameters (Reference)</t>
        </is>
      </c>
      <c r="B1" s="13" t="n"/>
      <c r="C1" s="13" t="n"/>
      <c r="D1" s="13" t="n"/>
      <c r="E1" s="13" t="n"/>
      <c r="F1" s="14" t="n"/>
    </row>
    <row r="2" ht="16" customHeight="1">
      <c r="A2" s="2" t="inlineStr">
        <is>
          <t>Fixed for every run: dto=70mm, dti=66mm, L=2000mm, fluid=Syltherm-800, T_in=500K</t>
        </is>
      </c>
      <c r="B2" s="13" t="n"/>
      <c r="C2" s="13" t="n"/>
      <c r="D2" s="13" t="n"/>
      <c r="E2" s="13" t="n"/>
      <c r="F2" s="14" t="n"/>
    </row>
    <row r="4" ht="18" customHeight="1">
      <c r="A4" s="3" t="inlineStr">
        <is>
          <t>Three parameters, shown as ratios (how they're screened)</t>
        </is>
      </c>
      <c r="B4" s="13" t="n"/>
      <c r="C4" s="13" t="n"/>
      <c r="D4" s="13" t="n"/>
      <c r="E4" s="13" t="n"/>
      <c r="F4" s="14" t="n"/>
    </row>
    <row r="5" ht="20" customHeight="1">
      <c r="A5" s="4" t="inlineStr">
        <is>
          <t>Parameter</t>
        </is>
      </c>
      <c r="B5" s="4" t="inlineStr">
        <is>
          <t>Ratio</t>
        </is>
      </c>
      <c r="C5" s="4" t="inlineStr">
        <is>
          <t>Level 1</t>
        </is>
      </c>
      <c r="D5" s="4" t="inlineStr">
        <is>
          <t>Level 2</t>
        </is>
      </c>
      <c r="E5" s="4" t="inlineStr">
        <is>
          <t>Level 3</t>
        </is>
      </c>
      <c r="F5" s="4" t="inlineStr">
        <is>
          <t>Meaning</t>
        </is>
      </c>
    </row>
    <row r="6" ht="42" customHeight="1">
      <c r="A6" s="5" t="inlineStr">
        <is>
          <t>Twist Pitch Ratio</t>
        </is>
      </c>
      <c r="B6" s="5" t="inlineStr">
        <is>
          <t>Pt / dti</t>
        </is>
      </c>
      <c r="C6" s="6" t="n">
        <v>3.0303</v>
      </c>
      <c r="D6" s="6" t="n">
        <v>4.5455</v>
      </c>
      <c r="E6" s="6" t="n">
        <v>6.0606</v>
      </c>
      <c r="F6" s="5" t="inlineStr">
        <is>
          <t>How tightly the square promoter is twisted along the tube. Screened in Stage 1 at dpo/dti = 0.23 (baseline), wall ratio = 0.07 (baseline). Winner: 200 mm (Pt/dti = 3.0303).</t>
        </is>
      </c>
    </row>
    <row r="7" ht="42" customHeight="1">
      <c r="A7" s="5" t="inlineStr">
        <is>
          <t>Promoter Size Ratio</t>
        </is>
      </c>
      <c r="B7" s="5" t="inlineStr">
        <is>
          <t>dpo / dti</t>
        </is>
      </c>
      <c r="C7" s="6" t="n">
        <v>0.15</v>
      </c>
      <c r="D7" s="6" t="n">
        <v>0.2</v>
      </c>
      <c r="E7" s="6" t="n">
        <v>0.25</v>
      </c>
      <c r="F7" s="54" t="inlineStr">
        <is>
          <t>How large the promoter is relative to the tube bore. Screened in Stage 2 at the winning Pt = 200 mm, wall ratio = 0.05 fixed. Winner CONFIRMED 2026-10-07: 0.25 — highest mean PEC, all 6/6 Re points valid (previously-diverged 15K case now fixed).</t>
        </is>
      </c>
    </row>
    <row r="8" ht="42" customHeight="1">
      <c r="A8" s="5" t="inlineStr">
        <is>
          <t>Wall Thickness Ratio</t>
        </is>
      </c>
      <c r="B8" s="5" t="inlineStr">
        <is>
          <t>tp / dpo</t>
        </is>
      </c>
      <c r="C8" s="6" t="n">
        <v>0.05</v>
      </c>
      <c r="D8" s="6" t="n">
        <v>0.1</v>
      </c>
      <c r="E8" s="6" t="n">
        <v>0.15</v>
      </c>
      <c r="F8" s="54" t="inlineStr">
        <is>
          <t>How thick the promoter's own wall is relative to its size. Screened in Stage 3 at Pt = 200 mm, dpo/dti = 0.25 (Stage 2 winner). Winner CONFIRMED 2026-10-07: 0.10 — highest mean PEC, all 6/6 Re points valid in every group (previously-diverged 20K and 30K cases now fixed).</t>
        </is>
      </c>
    </row>
    <row r="10" ht="18" customHeight="1">
      <c r="A10" s="3" t="inlineStr">
        <is>
          <t>Same three parameters, shown as individual (absolute) values</t>
        </is>
      </c>
      <c r="B10" s="13" t="n"/>
      <c r="C10" s="13" t="n"/>
      <c r="D10" s="13" t="n"/>
      <c r="E10" s="13" t="n"/>
      <c r="F10" s="14" t="n"/>
    </row>
    <row r="11" ht="20" customHeight="1">
      <c r="A11" s="4" t="inlineStr">
        <is>
          <t>Parameter</t>
        </is>
      </c>
      <c r="B11" s="4" t="inlineStr">
        <is>
          <t>Symbol</t>
        </is>
      </c>
      <c r="C11" s="4" t="inlineStr">
        <is>
          <t>Level 1</t>
        </is>
      </c>
      <c r="D11" s="4" t="inlineStr">
        <is>
          <t>Level 2</t>
        </is>
      </c>
      <c r="E11" s="4" t="inlineStr">
        <is>
          <t>Level 3</t>
        </is>
      </c>
      <c r="F11" s="4" t="inlineStr">
        <is>
          <t>Units / note</t>
        </is>
      </c>
    </row>
    <row r="12" ht="42" customHeight="1">
      <c r="A12" s="5" t="inlineStr">
        <is>
          <t>Twist Pitch</t>
        </is>
      </c>
      <c r="B12" s="6" t="inlineStr">
        <is>
          <t>Pt</t>
        </is>
      </c>
      <c r="C12" s="6" t="inlineStr">
        <is>
          <t>200</t>
        </is>
      </c>
      <c r="D12" s="6" t="inlineStr">
        <is>
          <t>300</t>
        </is>
      </c>
      <c r="E12" s="6" t="inlineStr">
        <is>
          <t>400</t>
        </is>
      </c>
      <c r="F12" s="5" t="inlineStr">
        <is>
          <t>mm. Fixed at 200 mm (winner) from Stage 2 onward.</t>
        </is>
      </c>
    </row>
    <row r="13" ht="42" customHeight="1">
      <c r="A13" s="5" t="inlineStr">
        <is>
          <t>Promoter Outer Diameter</t>
        </is>
      </c>
      <c r="B13" s="6" t="inlineStr">
        <is>
          <t>dpo</t>
        </is>
      </c>
      <c r="C13" s="6" t="inlineStr">
        <is>
          <t>9.9</t>
        </is>
      </c>
      <c r="D13" s="6" t="inlineStr">
        <is>
          <t>13.2</t>
        </is>
      </c>
      <c r="E13" s="6" t="inlineStr">
        <is>
          <t>16.5</t>
        </is>
      </c>
      <c r="F13" s="5" t="inlineStr">
        <is>
          <t>mm. Values at wall ratio = 0.05 (Stage 2 condition). Fixed at 16.5 mm (0.25 winner) from Stage 3 onward.</t>
        </is>
      </c>
    </row>
    <row r="14" ht="42" customHeight="1">
      <c r="A14" s="5" t="inlineStr">
        <is>
          <t>Promoter Inner Diameter</t>
        </is>
      </c>
      <c r="B14" s="6" t="inlineStr">
        <is>
          <t>dpi</t>
        </is>
      </c>
      <c r="C14" s="6" t="inlineStr">
        <is>
          <t>8.91</t>
        </is>
      </c>
      <c r="D14" s="6" t="inlineStr">
        <is>
          <t>11.88</t>
        </is>
      </c>
      <c r="E14" s="6" t="inlineStr">
        <is>
          <t>14.85</t>
        </is>
      </c>
      <c r="F14" s="5" t="inlineStr">
        <is>
          <t>mm. dpi = dpo x (1 - 2 x wall ratio); shown here at wall ratio = 0.05. Stage 3 recomputes dpi at dpo = 16.5 mm for wall ratios 0.10 (13.2 mm) and 0.15 (11.55 mm).</t>
        </is>
      </c>
    </row>
    <row r="16" ht="85" customHeight="1">
      <c r="A16" s="7" t="inlineStr">
        <is>
          <t>Sequential (one-factor-at-a-time) screening, not a full factorial: Stage 1 fixed dpo/dti=0.23, wall ratio=0.07 (legacy baseline geometry, dpo=15 mm, dpi=12.9 mm) and swept Pt only -&gt; winner 200 mm. Stage 2 fixed Pt=200 mm, wall ratio=0.05 and swept dpo/dti -&gt; winner (tentative) 0.25, pending a re-run of its diverged 15K Re case. Stage 3 fixed Pt=200 mm, dpo/dti=0.25 and swept wall ratio (0.10, 0.15 new; 0.05 reused from Stage 2) -&gt; all runs now complete. 54 runs total: 6 baseline + 18 + 18 + 12, vs. 72 for the original full-factorial plan.</t>
        </is>
      </c>
      <c r="B16" s="13" t="n"/>
      <c r="C16" s="13" t="n"/>
      <c r="D16" s="13" t="n"/>
      <c r="E16" s="13" t="n"/>
      <c r="F16" s="14" t="n"/>
    </row>
    <row r="18" ht="20" customHeight="1">
      <c r="A18" s="15" t="inlineStr">
        <is>
          <t>Hybrid Nanofluid #1 — Fe2O3-GO/Syltherm-800 — FINAL, fully sourced (mirror-thesis methodology)</t>
        </is>
      </c>
      <c r="B18" s="13" t="n"/>
      <c r="C18" s="13" t="n"/>
      <c r="D18" s="13" t="n"/>
      <c r="E18" s="13" t="n"/>
      <c r="F18" s="14" t="n"/>
    </row>
    <row r="19" ht="45" customHeight="1">
      <c r="A19" s="7" t="inlineStr">
        <is>
          <t>Decision 2026-10-02: follow the MIRROR THESIS property model exactly (Maxwell conductivity + Brinkman viscosity), not the proposal’s shape-coefficient model. The one gap the mirror thesis left open (how to combine two particles into one "equivalent" conductivity, k_hnp) is now filled from a real, independently-read literature source. Every number below has a named, checkable source.</t>
        </is>
      </c>
      <c r="B19" s="13" t="n"/>
      <c r="C19" s="13" t="n"/>
      <c r="D19" s="13" t="n"/>
      <c r="E19" s="13" t="n"/>
      <c r="F19" s="14" t="n"/>
    </row>
    <row r="20">
      <c r="A20" s="19" t="n"/>
      <c r="B20" s="19" t="n"/>
      <c r="C20" s="19" t="n"/>
      <c r="D20" s="19" t="n"/>
      <c r="E20" s="19" t="n"/>
      <c r="F20" s="19" t="n"/>
    </row>
    <row r="21" ht="18" customHeight="1">
      <c r="A21" s="3" t="inlineStr">
        <is>
          <t>Step 1 — pure-substance properties</t>
        </is>
      </c>
      <c r="B21" s="13" t="n"/>
      <c r="C21" s="13" t="n"/>
      <c r="D21" s="13" t="n"/>
      <c r="E21" s="13" t="n"/>
      <c r="F21" s="14" t="n"/>
    </row>
    <row r="22">
      <c r="A22" s="4" t="inlineStr">
        <is>
          <t>Material</t>
        </is>
      </c>
      <c r="B22" s="4" t="inlineStr">
        <is>
          <t>rho (kg/m3)</t>
        </is>
      </c>
      <c r="C22" s="4" t="inlineStr">
        <is>
          <t>Cp (J/kg-K)</t>
        </is>
      </c>
      <c r="D22" s="4" t="inlineStr">
        <is>
          <t>k (W/m-K)</t>
        </is>
      </c>
      <c r="E22" s="4" t="inlineStr">
        <is>
          <t>mu (Pa-s)</t>
        </is>
      </c>
      <c r="F22" s="4" t="inlineStr">
        <is>
          <t>Source</t>
        </is>
      </c>
    </row>
    <row r="23" ht="32" customHeight="1">
      <c r="A23" s="5" t="inlineStr">
        <is>
          <t>Syltherm-800 (base fluid)</t>
        </is>
      </c>
      <c r="B23" s="16" t="n">
        <v>747.2</v>
      </c>
      <c r="C23" s="16" t="n">
        <v>1962</v>
      </c>
      <c r="D23" s="16" t="n">
        <v>0.0961</v>
      </c>
      <c r="E23" s="16" t="n">
        <v>0.00084</v>
      </c>
      <c r="F23" s="5" t="inlineStr">
        <is>
          <t>Mirror thesis Table 4-2, p.104 = Proposal_Last.pdf Table 14, p.49 (identical values, both documents agree)</t>
        </is>
      </c>
    </row>
    <row r="24" ht="32" customHeight="1">
      <c r="A24" s="5" t="inlineStr">
        <is>
          <t>Fe2O3</t>
        </is>
      </c>
      <c r="B24" s="16" t="n">
        <v>5180</v>
      </c>
      <c r="C24" s="16" t="n">
        <v>670</v>
      </c>
      <c r="D24" s="16" t="n">
        <v>6.9</v>
      </c>
      <c r="E24" s="16" t="inlineStr">
        <is>
          <t>—</t>
        </is>
      </c>
      <c r="F24" s="5" t="inlineStr">
        <is>
          <t>Mirror thesis Table 4-2, p.104 = Proposal_Last.pdf Table 14, p.49 (identical values)</t>
        </is>
      </c>
    </row>
    <row r="25" ht="32" customHeight="1">
      <c r="A25" s="5" t="inlineStr">
        <is>
          <t>GO (graphene oxide)</t>
        </is>
      </c>
      <c r="B25" s="16" t="n">
        <v>1800</v>
      </c>
      <c r="C25" s="16" t="n">
        <v>717</v>
      </c>
      <c r="D25" s="16" t="n">
        <v>5000</v>
      </c>
      <c r="E25" s="16" t="inlineStr">
        <is>
          <t>—</t>
        </is>
      </c>
      <c r="F25" s="5" t="inlineStr">
        <is>
          <t>Mirror thesis Table 4-2, p.104 = Proposal_Last.pdf Table 14, p.49 (identical values)</t>
        </is>
      </c>
    </row>
    <row r="26">
      <c r="A26" s="19" t="n"/>
      <c r="B26" s="19" t="n"/>
      <c r="C26" s="19" t="n"/>
      <c r="D26" s="19" t="n"/>
      <c r="E26" s="19" t="n"/>
      <c r="F26" s="19" t="n"/>
    </row>
    <row r="27" ht="18" customHeight="1">
      <c r="A27" s="3" t="inlineStr">
        <is>
          <t>Step 2 — concentration and split</t>
        </is>
      </c>
      <c r="B27" s="13" t="n"/>
      <c r="C27" s="13" t="n"/>
      <c r="D27" s="13" t="n"/>
      <c r="E27" s="13" t="n"/>
      <c r="F27" s="14" t="n"/>
    </row>
    <row r="28">
      <c r="A28" s="4" t="inlineStr">
        <is>
          <t>Concept</t>
        </is>
      </c>
      <c r="B28" s="4" t="inlineStr">
        <is>
          <t>Symbol</t>
        </is>
      </c>
      <c r="C28" s="4" t="inlineStr">
        <is>
          <t>Value used</t>
        </is>
      </c>
      <c r="D28" s="4" t="inlineStr">
        <is>
          <t>Source</t>
        </is>
      </c>
      <c r="E28" s="19" t="n"/>
      <c r="F28" s="19" t="n"/>
    </row>
    <row r="29" ht="28" customHeight="1">
      <c r="A29" s="5" t="inlineStr">
        <is>
          <t>Total concentration</t>
        </is>
      </c>
      <c r="B29" s="16" t="inlineStr">
        <is>
          <t>phi</t>
        </is>
      </c>
      <c r="C29" s="16" t="inlineStr">
        <is>
          <t>0.02 (2%)</t>
        </is>
      </c>
      <c r="D29" s="5" t="inlineStr">
        <is>
          <t>Your chosen production value — not fixed by either source document</t>
        </is>
      </c>
      <c r="E29" s="19" t="n"/>
      <c r="F29" s="19" t="n"/>
    </row>
    <row r="30" ht="28" customHeight="1">
      <c r="A30" s="5" t="inlineStr">
        <is>
          <t>Fe2O3 share</t>
        </is>
      </c>
      <c r="B30" s="16" t="inlineStr">
        <is>
          <t>phi_p1</t>
        </is>
      </c>
      <c r="C30" s="16" t="inlineStr">
        <is>
          <t>0.01</t>
        </is>
      </c>
      <c r="D30" s="5" t="inlineStr">
        <is>
          <t>Half of phi (see split below)</t>
        </is>
      </c>
      <c r="E30" s="19" t="n"/>
      <c r="F30" s="19" t="n"/>
    </row>
    <row r="31" ht="28" customHeight="1">
      <c r="A31" s="5" t="inlineStr">
        <is>
          <t>GO share</t>
        </is>
      </c>
      <c r="B31" s="16" t="inlineStr">
        <is>
          <t>phi_p2</t>
        </is>
      </c>
      <c r="C31" s="16" t="inlineStr">
        <is>
          <t>0.01</t>
        </is>
      </c>
      <c r="D31" s="5" t="inlineStr">
        <is>
          <t>Half of phi (see split below)</t>
        </is>
      </c>
      <c r="E31" s="19" t="n"/>
      <c r="F31" s="19" t="n"/>
    </row>
    <row r="32" ht="28" customHeight="1">
      <c r="A32" s="5" t="inlineStr">
        <is>
          <t>Split phi_p1 : phi_p2</t>
        </is>
      </c>
      <c r="B32" s="16" t="inlineStr">
        <is>
          <t>—</t>
        </is>
      </c>
      <c r="C32" s="16" t="inlineStr">
        <is>
          <t>50 : 50</t>
        </is>
      </c>
      <c r="D32" s="5" t="inlineStr">
        <is>
          <t>NOT stated in mirror thesis or Proposal_Last.pdf — decided by you 2026-10-02. Declare as an explicit assumption in your methodology chapter.</t>
        </is>
      </c>
      <c r="E32" s="19" t="n"/>
      <c r="F32" s="19" t="n"/>
    </row>
    <row r="33">
      <c r="A33" s="19" t="n"/>
      <c r="B33" s="19" t="n"/>
      <c r="C33" s="19" t="n"/>
      <c r="D33" s="19" t="n"/>
      <c r="E33" s="19" t="n"/>
      <c r="F33" s="19" t="n"/>
    </row>
    <row r="34" ht="18" customHeight="1">
      <c r="A34" s="3" t="inlineStr">
        <is>
          <t>Step 3 — equations (mirror-thesis methodology, gap now filled)</t>
        </is>
      </c>
      <c r="B34" s="13" t="n"/>
      <c r="C34" s="13" t="n"/>
      <c r="D34" s="13" t="n"/>
      <c r="E34" s="13" t="n"/>
      <c r="F34" s="14" t="n"/>
    </row>
    <row r="35">
      <c r="A35" s="4" t="inlineStr">
        <is>
          <t>Property</t>
        </is>
      </c>
      <c r="B35" s="4" t="inlineStr">
        <is>
          <t>Equation</t>
        </is>
      </c>
      <c r="C35" s="13" t="n"/>
      <c r="D35" s="14" t="n"/>
      <c r="E35" s="4" t="inlineStr">
        <is>
          <t>Source</t>
        </is>
      </c>
      <c r="F35" s="14" t="n"/>
    </row>
    <row r="36" ht="46" customHeight="1">
      <c r="A36" s="5" t="inlineStr">
        <is>
          <t>Density</t>
        </is>
      </c>
      <c r="B36" s="5" t="inlineStr">
        <is>
          <t>rho_hnf = (1-phi)*rho_bf + phi_p1*rho_p1 + phi_p2*rho_p2</t>
        </is>
      </c>
      <c r="C36" s="13" t="n"/>
      <c r="D36" s="14" t="n"/>
      <c r="E36" s="5" t="inlineStr">
        <is>
          <t>Mirror thesis Eq 3.37, p.78 = Proposal_Last.pdf Eq 3.26, p.49 (identical)</t>
        </is>
      </c>
      <c r="F36" s="14" t="n"/>
    </row>
    <row r="37" ht="46" customHeight="1">
      <c r="A37" s="5" t="inlineStr">
        <is>
          <t>Specific heat</t>
        </is>
      </c>
      <c r="B37" s="5" t="inlineStr">
        <is>
          <t>Cp_hnf = [(1-phi)*rho_bf*Cp_bf + phi_p1*rho_p1*Cp1 + phi_p2*rho_p2*Cp2] / rho_hnf</t>
        </is>
      </c>
      <c r="C37" s="13" t="n"/>
      <c r="D37" s="14" t="n"/>
      <c r="E37" s="5" t="inlineStr">
        <is>
          <t>Mirror thesis Eq 3.38, p.78 = Proposal_Last.pdf Eq 3.27, p.49 (identical)</t>
        </is>
      </c>
      <c r="F37" s="14" t="n"/>
    </row>
    <row r="38" ht="46" customHeight="1">
      <c r="A38" s="5" t="inlineStr">
        <is>
          <t>Equivalent particle conductivity (k_hnp)</t>
        </is>
      </c>
      <c r="B38" s="5" t="inlineStr">
        <is>
          <t>k_hnp = (phi_p1*kp1 + phi_p2*kp2) / (phi_p1 + phi_p2)</t>
        </is>
      </c>
      <c r="C38" s="13" t="n"/>
      <c r="D38" s="14" t="n"/>
      <c r="E38" s="5" t="inlineStr">
        <is>
          <t>Chamkha et al., as presented in: review paper "Hybrid Nanofluid Thermal Conductivity and Optimization: Original Approach and Background", Nanomaterials 2022, 12, 2847, Section 2.6, p.27 (stated in prose + Eq 45). Fills the gap the mirror thesis left undefined for k_hnp.</t>
        </is>
      </c>
      <c r="F38" s="14" t="n"/>
    </row>
    <row r="39" ht="46" customHeight="1">
      <c r="A39" s="5" t="inlineStr">
        <is>
          <t>Thermal conductivity</t>
        </is>
      </c>
      <c r="B39" s="5" t="inlineStr">
        <is>
          <t>k_hnf = k_bf*(k_hnp+2k_bf-2*phi*(k_bf-k_hnp)) / (k_hnp+2k_bf+phi*(k_bf-k_hnp))  [Maxwell]</t>
        </is>
      </c>
      <c r="C39" s="13" t="n"/>
      <c r="D39" s="14" t="n"/>
      <c r="E39" s="5" t="inlineStr">
        <is>
          <t>Mirror thesis Eq 3.40, p.79, using k_hnp from the row above. Verified: reduces correctly to k_bf at phi=0.</t>
        </is>
      </c>
      <c r="F39" s="14" t="n"/>
    </row>
    <row r="40" ht="46" customHeight="1">
      <c r="A40" s="5" t="inlineStr">
        <is>
          <t>Viscosity</t>
        </is>
      </c>
      <c r="B40" s="5" t="inlineStr">
        <is>
          <t>mu_hnf = mu_bf * (1-phi)^-2.5  [Brinkman]</t>
        </is>
      </c>
      <c r="C40" s="13" t="n"/>
      <c r="D40" s="14" t="n"/>
      <c r="E40" s="5" t="inlineStr">
        <is>
          <t>Mirror thesis Eq 3.41, p.79. Verified: reduces correctly to mu_bf at phi=0. Brinkman is a mono-nanofluid model being applied with total phi — the mirror thesis’s own simplification for hybrids, not independently validated by a dedicated hybrid-viscosity source.</t>
        </is>
      </c>
      <c r="F40" s="14" t="n"/>
    </row>
    <row r="41" ht="18" customHeight="1">
      <c r="A41" s="20" t="n"/>
      <c r="B41" s="19" t="n"/>
      <c r="C41" s="19" t="n"/>
      <c r="D41" s="19" t="n"/>
      <c r="E41" s="19" t="n"/>
      <c r="F41" s="19" t="n"/>
    </row>
    <row r="42" ht="18" customHeight="1">
      <c r="A42" s="3" t="inlineStr">
        <is>
          <t>Step 4 — worked example at phi=2%, 50:50 split, T_in=500K — ready to type into Fluent</t>
        </is>
      </c>
      <c r="B42" s="13" t="n"/>
      <c r="C42" s="13" t="n"/>
      <c r="D42" s="13" t="n"/>
      <c r="E42" s="13" t="n"/>
      <c r="F42" s="14" t="n"/>
    </row>
    <row r="43" ht="22" customHeight="1">
      <c r="A43" s="4" t="inlineStr">
        <is>
          <t>Property</t>
        </is>
      </c>
      <c r="B43" s="4" t="inlineStr">
        <is>
          <t>Value</t>
        </is>
      </c>
      <c r="C43" s="4" t="inlineStr">
        <is>
          <t>Unit</t>
        </is>
      </c>
      <c r="D43" s="4" t="inlineStr">
        <is>
          <t>Sanity check at phi=0</t>
        </is>
      </c>
      <c r="E43" s="19" t="n"/>
      <c r="F43" s="19" t="n"/>
    </row>
    <row r="44" ht="22" customHeight="1">
      <c r="A44" s="9" t="inlineStr">
        <is>
          <t>Density, rho_hnf</t>
        </is>
      </c>
      <c r="B44" s="21" t="n">
        <v>802.0599999999999</v>
      </c>
      <c r="C44" s="21" t="inlineStr">
        <is>
          <t>kg/m3</t>
        </is>
      </c>
      <c r="D44" s="9" t="inlineStr">
        <is>
          <t>Passes — reduces to rho_bf</t>
        </is>
      </c>
      <c r="E44" s="19" t="n"/>
      <c r="F44" s="19" t="n"/>
    </row>
    <row r="45" ht="22" customHeight="1">
      <c r="A45" s="9" t="inlineStr">
        <is>
          <t>Specific heat, Cp_hnf</t>
        </is>
      </c>
      <c r="B45" s="21" t="n">
        <v>1850.62</v>
      </c>
      <c r="C45" s="21" t="inlineStr">
        <is>
          <t>J/kg-K</t>
        </is>
      </c>
      <c r="D45" s="9" t="inlineStr">
        <is>
          <t>Passes — reduces to Cp_bf</t>
        </is>
      </c>
      <c r="E45" s="19" t="n"/>
      <c r="F45" s="19" t="n"/>
    </row>
    <row r="46" ht="22" customHeight="1">
      <c r="A46" s="9" t="inlineStr">
        <is>
          <t>Equivalent conductivity, k_hnp</t>
        </is>
      </c>
      <c r="B46" s="21" t="n">
        <v>2503.45</v>
      </c>
      <c r="C46" s="21" t="inlineStr">
        <is>
          <t>W/m-K</t>
        </is>
      </c>
      <c r="D46" s="9" t="inlineStr">
        <is>
          <t>n/a — intermediate value</t>
        </is>
      </c>
      <c r="E46" s="19" t="n"/>
      <c r="F46" s="19" t="n"/>
    </row>
    <row r="47" ht="22" customHeight="1">
      <c r="A47" s="9" t="inlineStr">
        <is>
          <t>Thermal conductivity, k_hnf</t>
        </is>
      </c>
      <c r="B47" s="21" t="n">
        <v>0.10198</v>
      </c>
      <c r="C47" s="21" t="inlineStr">
        <is>
          <t>W/m-K</t>
        </is>
      </c>
      <c r="D47" s="9" t="inlineStr">
        <is>
          <t>Passes — verified = 0.0961 at phi=0</t>
        </is>
      </c>
      <c r="E47" s="19" t="n"/>
      <c r="F47" s="19" t="n"/>
    </row>
    <row r="48" ht="22" customHeight="1">
      <c r="A48" s="9" t="inlineStr">
        <is>
          <t>Viscosity, mu_hnf</t>
        </is>
      </c>
      <c r="B48" s="21" t="n">
        <v>0.0008835</v>
      </c>
      <c r="C48" s="21" t="inlineStr">
        <is>
          <t>Pa-s</t>
        </is>
      </c>
      <c r="D48" s="9" t="inlineStr">
        <is>
          <t>Passes — verified = 0.00084 at phi=0</t>
        </is>
      </c>
      <c r="E48" s="19" t="n"/>
      <c r="F48" s="19" t="n"/>
    </row>
    <row r="49" ht="40" customHeight="1">
      <c r="A49" s="22" t="n"/>
      <c r="B49" s="19" t="n"/>
      <c r="C49" s="19" t="n"/>
      <c r="D49" s="19" t="n"/>
      <c r="E49" s="19" t="n"/>
      <c r="F49" s="19" t="n"/>
    </row>
    <row r="50" ht="40" customHeight="1">
      <c r="A50" s="23" t="inlineStr">
        <is>
          <t>GREEN LIGHT: all four properties for Fe2O3-GO at phi=2%, 50:50 split are now fully sourced (named document + page/equation/section for every number) and pass the phi=0 sanity check. No open equation gaps remain for this nanofluid. Safe to enter these 4 numbers into Fluent as a new constant-property material.</t>
        </is>
      </c>
      <c r="B50" s="13" t="n"/>
      <c r="C50" s="13" t="n"/>
      <c r="D50" s="13" t="n"/>
      <c r="E50" s="13" t="n"/>
      <c r="F50" s="14" t="n"/>
    </row>
    <row r="51" ht="40" customHeight="1">
      <c r="A51" s="7" t="inlineStr">
        <is>
          <t>Still an assumption, not a gap: the 50:50 split is a decision, not a literature value — state it explicitly in your methodology chapter. Also an inherited simplification, not an error: applying Brinkman (a mono-particle model) with total phi for a hybrid is the mirror thesis’s own choice — no paper found that validates or disputes this specifically for hybrids.</t>
        </is>
      </c>
      <c r="B51" s="13" t="n"/>
      <c r="C51" s="13" t="n"/>
      <c r="D51" s="13" t="n"/>
      <c r="E51" s="13" t="n"/>
      <c r="F51" s="14" t="n"/>
    </row>
    <row r="52" ht="40" customHeight="1">
      <c r="A52" s="7" t="inlineStr">
        <is>
          <t>Fluent setup: do NOT edit syltherm800_oil in place. Copy it, rename the copy (e.g. "Fe2O3GO_phi2_5050"), switch Density/Cp/Thermal Conductivity/Viscosity from Polynomial to Constant, and enter the 4 highlighted values above. Keep the original syltherm800_oil untouched — needed as the baseline reference for every PEC/Nu0/f0 comparison.</t>
        </is>
      </c>
      <c r="B52" s="13" t="n"/>
      <c r="C52" s="13" t="n"/>
      <c r="D52" s="13" t="n"/>
      <c r="E52" s="13" t="n"/>
      <c r="F52" s="14" t="n"/>
    </row>
    <row r="53" ht="30" customHeight="1">
      <c r="A53" s="7" t="inlineStr">
        <is>
          <t>UPDATE 2026-10-07: Al2O3-MWCNT and Ag-MgO are now data-complete too — see the two sections below. Same mirror-thesis equations as Hybrid Nanofluid #1 above (density/Cp mixing, Maxwell k_hnp, Brinkman viscosity); only the pure-substance inputs differ.</t>
        </is>
      </c>
      <c r="B53" s="13" t="n"/>
      <c r="C53" s="13" t="n"/>
      <c r="D53" s="13" t="n"/>
      <c r="E53" s="13" t="n"/>
      <c r="F53" s="14" t="n"/>
    </row>
    <row r="55" ht="20" customHeight="1">
      <c r="A55" s="15" t="inlineStr">
        <is>
          <t>Hybrid Nanofluid #2 — Al2O3-MWCNT/Syltherm-800 — FINAL, fully sourced (same equations as Hybrid Nanofluid #1)</t>
        </is>
      </c>
      <c r="B55" s="13" t="n"/>
      <c r="C55" s="13" t="n"/>
      <c r="D55" s="13" t="n"/>
      <c r="E55" s="13" t="n"/>
      <c r="F55" s="14" t="n"/>
    </row>
    <row r="56" ht="60" customHeight="1">
      <c r="A56" s="7" t="inlineStr">
        <is>
          <t>Deep web search 2026-10-06/07 across independent sources (not the mirror thesis, which cites no reference for these two). Al2O3 rho/Cp/k are essentially universal in nanofluid literature (matches mirror exactly). MWCNT rho/Cp cross-checked across 2+ independent sources. ONE OPEN FLAG: k_MWCNT=3000 W/m-K is the individual-tube / nanofluid-CFD-convention value used in virtually every published Al2O3-MWCNT hybrid paper — real bulk/bundled MWCNT measures far lower (~200 W/m-K in solid-state physics literature). Using 3000 matches the body of work this thesis is consistent with; flagged here so it is a documented choice, not a hidden assumption.</t>
        </is>
      </c>
      <c r="B56" s="13" t="n"/>
      <c r="C56" s="13" t="n"/>
      <c r="D56" s="13" t="n"/>
      <c r="E56" s="13" t="n"/>
      <c r="F56" s="14" t="n"/>
    </row>
    <row r="58" ht="18" customHeight="1">
      <c r="A58" s="3" t="inlineStr">
        <is>
          <t>Step 1 — pure-substance properties</t>
        </is>
      </c>
      <c r="B58" s="13" t="n"/>
      <c r="C58" s="13" t="n"/>
      <c r="D58" s="13" t="n"/>
      <c r="E58" s="13" t="n"/>
      <c r="F58" s="14" t="n"/>
    </row>
    <row r="59">
      <c r="A59" s="4" t="inlineStr">
        <is>
          <t>Material</t>
        </is>
      </c>
      <c r="B59" s="4" t="inlineStr">
        <is>
          <t>rho (kg/m3)</t>
        </is>
      </c>
      <c r="C59" s="4" t="inlineStr">
        <is>
          <t>Cp (J/kg-K)</t>
        </is>
      </c>
      <c r="D59" s="4" t="inlineStr">
        <is>
          <t>k (W/m-K)</t>
        </is>
      </c>
      <c r="E59" s="4" t="inlineStr">
        <is>
          <t>mu (Pa-s)</t>
        </is>
      </c>
      <c r="F59" s="4" t="inlineStr">
        <is>
          <t>Source</t>
        </is>
      </c>
    </row>
    <row r="60" ht="32" customHeight="1">
      <c r="A60" s="5" t="inlineStr">
        <is>
          <t>Syltherm-800 (base fluid)</t>
        </is>
      </c>
      <c r="B60" s="5" t="n">
        <v>747.2</v>
      </c>
      <c r="C60" s="5" t="n">
        <v>1962</v>
      </c>
      <c r="D60" s="5" t="n">
        <v>0.0961</v>
      </c>
      <c r="E60" s="5" t="n">
        <v>0.00084</v>
      </c>
      <c r="F60" s="5" t="inlineStr">
        <is>
          <t>Mirror thesis Table 4-2, p.104 = Proposal_Last.pdf Table 14, p.49 (identical)</t>
        </is>
      </c>
    </row>
    <row r="61" ht="44" customHeight="1">
      <c r="A61" s="5" t="inlineStr">
        <is>
          <t>Al2O3</t>
        </is>
      </c>
      <c r="B61" s="5" t="n">
        <v>3970</v>
      </c>
      <c r="C61" s="5" t="n">
        <v>765</v>
      </c>
      <c r="D61" s="5" t="n">
        <v>40</v>
      </c>
      <c r="E61" s="5" t="inlineStr">
        <is>
          <t>—</t>
        </is>
      </c>
      <c r="F61" s="5" t="inlineStr">
        <is>
          <t>Cross-checked 2026-10-07: matches mirror thesis exactly AND the standard value used across nanofluid-CFD literature (e.g. comparative nanoparticle-property studies); essentially undisputed.</t>
        </is>
      </c>
    </row>
    <row r="62" ht="58" customHeight="1">
      <c r="A62" s="5" t="inlineStr">
        <is>
          <t>MWCNT</t>
        </is>
      </c>
      <c r="B62" s="5" t="n">
        <v>2100</v>
      </c>
      <c r="C62" s="5" t="n">
        <v>796</v>
      </c>
      <c r="D62" s="5" t="n">
        <v>3000</v>
      </c>
      <c r="E62" s="5" t="inlineStr">
        <is>
          <t>—</t>
        </is>
      </c>
      <c r="F62" s="5" t="inlineStr">
        <is>
          <t>Cross-checked 2026-10-07 across independent sources: rho=2100 kg/m3 (true/packed density, consistent); Cp=796 J/kg-K (recurs independently in 2+ property tables); k=3000 W/m-K = individual-tube ballistic value, the field-convention input for hybrid-nanofluid mixing models (bulk bundle k~200 W/m-K is the alternate, more conservative physics value — see flag above).</t>
        </is>
      </c>
    </row>
    <row r="64" ht="18" customHeight="1">
      <c r="A64" s="3" t="inlineStr">
        <is>
          <t>Step 2 — worked example at phi=2%, 50:50 split, T_in=500K — ready to type into Fluent (equations: see Hybrid #1, Step 3 above)</t>
        </is>
      </c>
      <c r="B64" s="13" t="n"/>
      <c r="C64" s="13" t="n"/>
      <c r="D64" s="13" t="n"/>
      <c r="E64" s="13" t="n"/>
      <c r="F64" s="14" t="n"/>
    </row>
    <row r="65">
      <c r="A65" s="4" t="inlineStr">
        <is>
          <t>Property</t>
        </is>
      </c>
      <c r="B65" s="4" t="inlineStr">
        <is>
          <t>Value</t>
        </is>
      </c>
      <c r="C65" s="4" t="inlineStr">
        <is>
          <t>Unit</t>
        </is>
      </c>
      <c r="D65" s="4" t="inlineStr">
        <is>
          <t>Sanity check at phi=0</t>
        </is>
      </c>
    </row>
    <row r="66">
      <c r="A66" s="9" t="inlineStr">
        <is>
          <t>Density, rho_hnf</t>
        </is>
      </c>
      <c r="B66" s="9" t="n">
        <v>792.96</v>
      </c>
      <c r="C66" s="9" t="inlineStr">
        <is>
          <t>kg/m3</t>
        </is>
      </c>
      <c r="D66" s="9" t="inlineStr">
        <is>
          <t>Passes — reduces to rho_bf</t>
        </is>
      </c>
    </row>
    <row r="67">
      <c r="A67" s="9" t="inlineStr">
        <is>
          <t>Specific heat, Cp_hnf</t>
        </is>
      </c>
      <c r="B67" s="9" t="n">
        <v>1871.19</v>
      </c>
      <c r="C67" s="9" t="inlineStr">
        <is>
          <t>J/kg-K</t>
        </is>
      </c>
      <c r="D67" s="9" t="inlineStr">
        <is>
          <t>Passes — reduces to Cp_bf</t>
        </is>
      </c>
    </row>
    <row r="68">
      <c r="A68" s="9" t="inlineStr">
        <is>
          <t>Equivalent conductivity, k_hnp</t>
        </is>
      </c>
      <c r="B68" s="9" t="n">
        <v>1520</v>
      </c>
      <c r="C68" s="9" t="inlineStr">
        <is>
          <t>W/m-K</t>
        </is>
      </c>
      <c r="D68" s="9" t="inlineStr">
        <is>
          <t>n/a — intermediate value</t>
        </is>
      </c>
    </row>
    <row r="69">
      <c r="A69" s="9" t="inlineStr">
        <is>
          <t>Thermal conductivity, k_hnf</t>
        </is>
      </c>
      <c r="B69" s="9" t="n">
        <v>0.10198</v>
      </c>
      <c r="C69" s="9" t="inlineStr">
        <is>
          <t>W/m-K</t>
        </is>
      </c>
      <c r="D69" s="9" t="inlineStr">
        <is>
          <t>Passes — verified = 0.0961 at phi=0</t>
        </is>
      </c>
    </row>
    <row r="70">
      <c r="A70" s="9" t="inlineStr">
        <is>
          <t>Viscosity, mu_hnf</t>
        </is>
      </c>
      <c r="B70" s="9" t="n">
        <v>0.0008835</v>
      </c>
      <c r="C70" s="9" t="inlineStr">
        <is>
          <t>Pa-s</t>
        </is>
      </c>
      <c r="D70" s="9" t="inlineStr">
        <is>
          <t>Passes — verified = 0.00084 at phi=0</t>
        </is>
      </c>
    </row>
    <row r="72" ht="42" customHeight="1">
      <c r="A72" s="23" t="inlineStr">
        <is>
          <t>GREEN LIGHT (with one flagged convention): all four properties sourced and pass the phi=0 sanity check. k_hnf and mu_hnf come out numerically identical to Fe2O3-GO's — this is a real model property (Maxwell saturates once particle k &gt;&gt; base-fluid k; Brinkman ignores particle identity entirely), not a calculation error.</t>
        </is>
      </c>
      <c r="B72" s="13" t="n"/>
      <c r="C72" s="13" t="n"/>
      <c r="D72" s="13" t="n"/>
      <c r="E72" s="13" t="n"/>
      <c r="F72" s="14" t="n"/>
    </row>
    <row r="73" ht="30" customHeight="1">
      <c r="A73" s="7" t="inlineStr">
        <is>
          <t>Fluent setup: copy syltherm800_oil, rename (e.g. "Al2O3MWCNT_phi2_5050"), switch the 4 properties to Constant, enter the values above. Do not edit the original.</t>
        </is>
      </c>
      <c r="B73" s="13" t="n"/>
      <c r="C73" s="13" t="n"/>
      <c r="D73" s="13" t="n"/>
      <c r="E73" s="13" t="n"/>
      <c r="F73" s="14" t="n"/>
    </row>
    <row r="75" ht="20" customHeight="1">
      <c r="A75" s="15" t="inlineStr">
        <is>
          <t>Hybrid Nanofluid #3 — Ag-MgO/Syltherm-800 — FINAL, fully sourced (same equations as Hybrid Nanofluid #1)</t>
        </is>
      </c>
      <c r="B75" s="13" t="n"/>
      <c r="C75" s="13" t="n"/>
      <c r="D75" s="13" t="n"/>
      <c r="E75" s="13" t="n"/>
      <c r="F75" s="14" t="n"/>
    </row>
    <row r="76" ht="58" customHeight="1">
      <c r="A76" s="7" t="inlineStr">
        <is>
          <t>Deep web search 2026-10-06/07. Ag rho/Cp/k are standard metal constants, fully settled, no disagreement anywhere. MgO rho=3580 kg/m3 is consistent everywhere (mineral/periclase density). ONE OPEN FLAG: MgO Cp/k used here (955 J/kg-K, 45 W/m-K) come from Ag-MgO-specific hybrid-nanofluid literature and sit close to general ceramic-handbook values; a second published convention also exists (879 J/kg-K, 30 W/m-K) from other Ag-MgO papers — a modest spread (&lt;10% Cp, 1.5x k), documented not hidden.</t>
        </is>
      </c>
      <c r="B76" s="13" t="n"/>
      <c r="C76" s="13" t="n"/>
      <c r="D76" s="13" t="n"/>
      <c r="E76" s="13" t="n"/>
      <c r="F76" s="14" t="n"/>
    </row>
    <row r="78" ht="18" customHeight="1">
      <c r="A78" s="3" t="inlineStr">
        <is>
          <t>Step 1 — pure-substance properties</t>
        </is>
      </c>
      <c r="B78" s="13" t="n"/>
      <c r="C78" s="13" t="n"/>
      <c r="D78" s="13" t="n"/>
      <c r="E78" s="13" t="n"/>
      <c r="F78" s="14" t="n"/>
    </row>
    <row r="79">
      <c r="A79" s="4" t="inlineStr">
        <is>
          <t>Material</t>
        </is>
      </c>
      <c r="B79" s="4" t="inlineStr">
        <is>
          <t>rho (kg/m3)</t>
        </is>
      </c>
      <c r="C79" s="4" t="inlineStr">
        <is>
          <t>Cp (J/kg-K)</t>
        </is>
      </c>
      <c r="D79" s="4" t="inlineStr">
        <is>
          <t>k (W/m-K)</t>
        </is>
      </c>
      <c r="E79" s="4" t="inlineStr">
        <is>
          <t>mu (Pa-s)</t>
        </is>
      </c>
      <c r="F79" s="4" t="inlineStr">
        <is>
          <t>Source</t>
        </is>
      </c>
    </row>
    <row r="80" ht="32" customHeight="1">
      <c r="A80" s="5" t="inlineStr">
        <is>
          <t>Syltherm-800 (base fluid)</t>
        </is>
      </c>
      <c r="B80" s="5" t="n">
        <v>747.2</v>
      </c>
      <c r="C80" s="5" t="n">
        <v>1962</v>
      </c>
      <c r="D80" s="5" t="n">
        <v>0.0961</v>
      </c>
      <c r="E80" s="5" t="n">
        <v>0.00084</v>
      </c>
      <c r="F80" s="5" t="inlineStr">
        <is>
          <t>Mirror thesis Table 4-2, p.104 = Proposal_Last.pdf Table 14, p.49 (identical)</t>
        </is>
      </c>
    </row>
    <row r="81" ht="44" customHeight="1">
      <c r="A81" s="5" t="inlineStr">
        <is>
          <t>Ag</t>
        </is>
      </c>
      <c r="B81" s="5" t="n">
        <v>10500</v>
      </c>
      <c r="C81" s="5" t="n">
        <v>235</v>
      </c>
      <c r="D81" s="5" t="n">
        <v>429</v>
      </c>
      <c r="E81" s="5" t="inlineStr">
        <is>
          <t>—</t>
        </is>
      </c>
      <c r="F81" s="5" t="inlineStr">
        <is>
          <t>Cross-checked 2026-10-07: standard silver bulk constants, matches mirror thesis exactly and every independent source checked — no disagreement.</t>
        </is>
      </c>
    </row>
    <row r="82" ht="58" customHeight="1">
      <c r="A82" s="5" t="inlineStr">
        <is>
          <t>MgO</t>
        </is>
      </c>
      <c r="B82" s="5" t="n">
        <v>3580</v>
      </c>
      <c r="C82" s="5" t="n">
        <v>955</v>
      </c>
      <c r="D82" s="5" t="n">
        <v>45</v>
      </c>
      <c r="E82" s="5" t="inlineStr">
        <is>
          <t>—</t>
        </is>
      </c>
      <c r="F82" s="5" t="inlineStr">
        <is>
          <t>Cross-checked 2026-10-07 against multiple Ag-MgO-specific hybrid-nanofluid papers (rho fully consistent everywhere). Cp/k = primary recommended set; an alternate published set (Cp=879, k=30) also exists in the literature and is a legitimate alternative — flagged above.</t>
        </is>
      </c>
    </row>
    <row r="84" ht="18" customHeight="1">
      <c r="A84" s="3" t="inlineStr">
        <is>
          <t>Step 2 — worked example at phi=2%, 50:50 split, T_in=500K — ready to type into Fluent (equations: see Hybrid #1, Step 3 above)</t>
        </is>
      </c>
      <c r="B84" s="13" t="n"/>
      <c r="C84" s="13" t="n"/>
      <c r="D84" s="13" t="n"/>
      <c r="E84" s="13" t="n"/>
      <c r="F84" s="14" t="n"/>
    </row>
    <row r="85">
      <c r="A85" s="4" t="inlineStr">
        <is>
          <t>Property</t>
        </is>
      </c>
      <c r="B85" s="4" t="inlineStr">
        <is>
          <t>Value</t>
        </is>
      </c>
      <c r="C85" s="4" t="inlineStr">
        <is>
          <t>Unit</t>
        </is>
      </c>
      <c r="D85" s="4" t="inlineStr">
        <is>
          <t>Sanity check at phi=0</t>
        </is>
      </c>
    </row>
    <row r="86">
      <c r="A86" s="9" t="inlineStr">
        <is>
          <t>Density, rho_hnf</t>
        </is>
      </c>
      <c r="B86" s="9" t="n">
        <v>873.0599999999999</v>
      </c>
      <c r="C86" s="9" t="inlineStr">
        <is>
          <t>kg/m3</t>
        </is>
      </c>
      <c r="D86" s="9" t="inlineStr">
        <is>
          <t>Passes — reduces to rho_bf</t>
        </is>
      </c>
    </row>
    <row r="87">
      <c r="A87" s="9" t="inlineStr">
        <is>
          <t>Specific heat, Cp_hnf</t>
        </is>
      </c>
      <c r="B87" s="9" t="n">
        <v>1713.01</v>
      </c>
      <c r="C87" s="9" t="inlineStr">
        <is>
          <t>J/kg-K</t>
        </is>
      </c>
      <c r="D87" s="9" t="inlineStr">
        <is>
          <t>Passes — reduces to Cp_bf</t>
        </is>
      </c>
    </row>
    <row r="88">
      <c r="A88" s="9" t="inlineStr">
        <is>
          <t>Equivalent conductivity, k_hnp</t>
        </is>
      </c>
      <c r="B88" s="9" t="n">
        <v>237</v>
      </c>
      <c r="C88" s="9" t="inlineStr">
        <is>
          <t>W/m-K</t>
        </is>
      </c>
      <c r="D88" s="9" t="inlineStr">
        <is>
          <t>n/a — intermediate value</t>
        </is>
      </c>
    </row>
    <row r="89">
      <c r="A89" s="9" t="inlineStr">
        <is>
          <t>Thermal conductivity, k_hnf</t>
        </is>
      </c>
      <c r="B89" s="9" t="n">
        <v>0.10198</v>
      </c>
      <c r="C89" s="9" t="inlineStr">
        <is>
          <t>W/m-K</t>
        </is>
      </c>
      <c r="D89" s="9" t="inlineStr">
        <is>
          <t>Passes — verified = 0.0961 at phi=0</t>
        </is>
      </c>
    </row>
    <row r="90">
      <c r="A90" s="9" t="inlineStr">
        <is>
          <t>Viscosity, mu_hnf</t>
        </is>
      </c>
      <c r="B90" s="9" t="n">
        <v>0.0008835</v>
      </c>
      <c r="C90" s="9" t="inlineStr">
        <is>
          <t>Pa-s</t>
        </is>
      </c>
      <c r="D90" s="9" t="inlineStr">
        <is>
          <t>Passes — verified = 0.00084 at phi=0</t>
        </is>
      </c>
    </row>
    <row r="92" ht="50" customHeight="1">
      <c r="A92" s="23" t="inlineStr">
        <is>
          <t>GREEN LIGHT (with one flagged convention): all four properties sourced and pass the phi=0 sanity check. k_hnf and mu_hnf again come out numerically identical to the other two hybrids' — same reason: Maxwell saturation + Brinkman's particle-independence. Differences in simulated PEC across the three nanofluid types will come entirely from rho_hnf/Cp_hnf, not from k or viscosity.</t>
        </is>
      </c>
      <c r="B92" s="13" t="n"/>
      <c r="C92" s="13" t="n"/>
      <c r="D92" s="13" t="n"/>
      <c r="E92" s="13" t="n"/>
      <c r="F92" s="14" t="n"/>
    </row>
    <row r="93" ht="30" customHeight="1">
      <c r="A93" s="7" t="inlineStr">
        <is>
          <t>Fluent setup: copy syltherm800_oil, rename (e.g. "AgMgO_phi2_5050"), switch the 4 properties to Constant, enter the values above. Do not edit the original.</t>
        </is>
      </c>
      <c r="B93" s="13" t="n"/>
      <c r="C93" s="13" t="n"/>
      <c r="D93" s="13" t="n"/>
      <c r="E93" s="13" t="n"/>
      <c r="F93" s="14" t="n"/>
    </row>
    <row r="95" ht="20" customHeight="1">
      <c r="A95" s="15" t="inlineStr">
        <is>
          <t>Methodology Note — Transient-then-Steady Divergence Recovery (used for Runs 39, 47, 52, 54 and Stage-4 nanofluid re-runs)</t>
        </is>
      </c>
      <c r="B95" s="13" t="n"/>
      <c r="C95" s="13" t="n"/>
      <c r="D95" s="13" t="n"/>
      <c r="E95" s="13" t="n"/>
      <c r="F95" s="14" t="n"/>
    </row>
    <row r="96" ht="46" customHeight="1">
      <c r="A96" s="7" t="inlineStr">
        <is>
          <t>Several runs diverged in direct Steady mode due to reversed flow at the pressure outlet — a known failure mode for Newton-type steady solvers. Fix: run a short Transient burst (small dt, 50 timesteps, 50 max iterations/step) purely to let the flow settle direction, verify with 3 checks (zero reversed-flow messages / balanced mdot_in-mdot_out / flattened tau_wall), then switch Solver &gt; Time to Steady WITHOUT re-initializing and continue.</t>
        </is>
      </c>
      <c r="B96" s="13" t="n"/>
      <c r="C96" s="13" t="n"/>
      <c r="D96" s="13" t="n"/>
      <c r="E96" s="13" t="n"/>
      <c r="F96" s="14" t="n"/>
    </row>
    <row r="98" ht="18" customHeight="1">
      <c r="A98" s="3" t="inlineStr">
        <is>
          <t>What is proven vs. what is practitioner consensus — be precise about this if asked by advisor/committee</t>
        </is>
      </c>
      <c r="B98" s="13" t="n"/>
      <c r="C98" s="13" t="n"/>
      <c r="D98" s="13" t="n"/>
      <c r="E98" s="13" t="n"/>
      <c r="F98" s="14" t="n"/>
    </row>
    <row r="99">
      <c r="A99" s="4" t="inlineStr">
        <is>
          <t>Claim</t>
        </is>
      </c>
      <c r="B99" s="4" t="inlineStr">
        <is>
          <t>Status</t>
        </is>
      </c>
      <c r="C99" s="4" t="inlineStr">
        <is>
          <t>Reference / where to pull evidence</t>
        </is>
      </c>
    </row>
    <row r="100" ht="70" customHeight="1">
      <c r="A100" s="5" t="inlineStr">
        <is>
          <t>The underlying principle (bridging a stalled/diverged steady solve with a short artificial time integration, then growing the timestep back toward steady) is a real, peer-reviewed numerical method: "pseudo-transient continuation" (PTC / ΨtC).</t>
        </is>
      </c>
      <c r="B100" s="5" t="inlineStr">
        <is>
          <t>PROVEN — peer-reviewed</t>
        </is>
      </c>
      <c r="C100" s="5" t="inlineStr">
        <is>
          <t>Kelley, C.T. and Keyes, D.E. (1998), "Convergence Analysis of Pseudo-Transient Continuation," SIAM Journal on Numerical Analysis, 35(2), pp.508-523. Also: DTIC/ICASE technical report (1996 preprint) — https://apps.dtic.mil/sti/tr/pdf/ADA314613.pdf</t>
        </is>
      </c>
    </row>
    <row r="101" ht="75" customHeight="1">
      <c r="A101" s="5" t="inlineStr">
        <is>
          <t>The exact workflow ("real Transient burst in Fluent, then switch to Steady, no re-init") as a named, sanctioned ANSYS procedure.</t>
        </is>
      </c>
      <c r="B101" s="5" t="inlineStr">
        <is>
          <t>NOT FOUND in official docs — practitioner consensus only</t>
        </is>
      </c>
      <c r="C101" s="5" t="inlineStr">
        <is>
          <t>No ANSYS Fluent User's Guide section located stating this exact procedure. Supporting field evidence (forum reports of engineers doing this): ANSYS Innovation Space forum, "Steady state and transient solution" — https://innovationspace.ansys.com/forum/forums/topic/steady-state-and-transient-solution/ ; CFD-Online, "Reversed flow on faces of pressure-outlet" — https://www.cfd-online.com/Forums/fluent/245473-reversed-flow-faces-pressure-outlet.html</t>
        </is>
      </c>
    </row>
    <row r="102" ht="46" customHeight="1">
      <c r="A102" s="5" t="inlineStr">
        <is>
          <t>Switching Solver &gt; Time (Transient to Steady) preserves the current flow field as the new starting point, rather than resetting it.</t>
        </is>
      </c>
      <c r="B102" s="5" t="inlineStr">
        <is>
          <t>Community-verified, not official-doc-verified</t>
        </is>
      </c>
      <c r="C102" s="5" t="inlineStr">
        <is>
          <t>Same two forum threads above — multiple independent reports describing this behavior; no official ANSYS documentation page located yet confirming it explicitly.</t>
        </is>
      </c>
    </row>
    <row r="103" ht="56" customHeight="1">
      <c r="A103" s="5" t="inlineStr">
        <is>
          <t>Surface Report Plots (mass flow rate in/out, area-weighted average wall shear) are the documented, official way to verify convergence beyond residuals alone.</t>
        </is>
      </c>
      <c r="B103" s="5" t="inlineStr">
        <is>
          <t>OFFICIAL — documented</t>
        </is>
      </c>
      <c r="C103" s="5" t="inlineStr">
        <is>
          <t>ANSYS FLUENT 12.0 Tutorial Guide, Step 8 "Solution" (surface monitor recommended because default residuals alone may not show true convergence) — https://www.afs.enea.it/project/neptunius/docs/fluent/html/tg/node21.htm</t>
        </is>
      </c>
    </row>
    <row r="105" ht="70" customHeight="1">
      <c r="A105" s="23" t="inlineStr">
        <is>
          <t>Defensible framing for presentation: "This is an application of pseudo-transient continuation (Kelley &amp; Keyes, 1998), a peer-reviewed globalization method for stalled Newton-type steady solvers. We applied it only where the steady solver demonstrably failed (reversed flow at the outlet), verified recovery with three independent, measurable, documented criteria (surface report plots per the Fluent Tutorial Guide), and switched to Steady without re-initializing to preserve the fixed field. The specific Fluent implementation detail is supported by consistent field practitioner reports, not an ANSYS manual citation — stated honestly, not oversold."</t>
        </is>
      </c>
      <c r="B105" s="13" t="n"/>
      <c r="C105" s="13" t="n"/>
      <c r="D105" s="13" t="n"/>
      <c r="E105" s="13" t="n"/>
      <c r="F105" s="14" t="n"/>
    </row>
    <row r="106" ht="30" customHeight="1">
      <c r="A106" s="7" t="inlineStr">
        <is>
          <t>TODO before final thesis submission: pull the actual Kelley &amp; Keyes (1998) PDF and cite the specific page/section describing the small-to-large timestep growth strategy; if possible, also locate an official ANSYS Fluent Theory Guide or User Guide passage on pseudo-time-stepping / solution stabilization to strengthen the Fluent-specific link.</t>
        </is>
      </c>
      <c r="B106" s="13" t="n"/>
      <c r="C106" s="13" t="n"/>
      <c r="D106" s="13" t="n"/>
      <c r="E106" s="13" t="n"/>
      <c r="F106" s="14" t="n"/>
    </row>
    <row r="108">
      <c r="A108" s="56" t="inlineStr">
        <is>
          <t>Methodology Note - Under-Relaxation (official, documented alternative to the transient-recovery fix above)</t>
        </is>
      </c>
    </row>
    <row r="109">
      <c r="A109" s="57" t="inlineStr">
        <is>
          <t>ANSYS Fluent's own User Guide states default under-relaxation factors (URFs) are tuned for the largest number of cases, but nonlinear/turbulent problems may need lower factors from the start, and recommends reducing them (in steps of about 0.1-0.2) specifically when residuals keep rising instead of settling in the first iterations - the same symptom seen in the diverging runs above. This is the officially documented first-line fix for steady-solver divergence, distinct from the transient-switch method.</t>
        </is>
      </c>
    </row>
    <row r="111">
      <c r="A111" s="56" t="inlineStr">
        <is>
          <t>Claim</t>
        </is>
      </c>
    </row>
    <row r="112">
      <c r="A112" s="57" t="inlineStr">
        <is>
          <t>Lowering URFs (momentum, pressure) is the standard, vendor-documented response to steady-state divergence/rising residuals.</t>
        </is>
      </c>
    </row>
    <row r="113">
      <c r="A113" s="57" t="inlineStr">
        <is>
          <t>Reducing the pressure-outlet backflow instability can also be addressed via boundary placement/setup (outlet sited further downstream in uniform flow, correct backflow turbulence/temperature values) rather than solver settings alone - a root-cause angle distinct from both under-relaxation and transient-switching.</t>
        </is>
      </c>
    </row>
    <row r="115">
      <c r="A115" s="56" t="inlineStr">
        <is>
          <t>Status: not yet applied to any of the recovered runs (39, 47, 52, 54, Stage-4 re-runs) - those were fixed via the transient method above before this alternative was identified. Recommend citing under-relaxation as the officially-backed method if the committee or advisor specifically objects to the transient-switch, since it carries a vendor-documentation citation the transient method lacks.</t>
        </is>
      </c>
    </row>
    <row r="116">
      <c r="A116" s="56" t="inlineStr">
        <is>
          <t>References</t>
        </is>
      </c>
    </row>
    <row r="117">
      <c r="A117" s="57" t="inlineStr">
        <is>
          <t>ANSYS Fluent User's Guide, Under-Relaxation of Variables (ENEA mirror) - https://wwwafs.portici.enea.it/project/neptunius/docs/fluent/html/ug/node786.htm</t>
        </is>
      </c>
    </row>
    <row r="118">
      <c r="A118" s="57" t="inlineStr">
        <is>
          <t>ANSYS Innovation Space forum, 'Under-Relaxation Factors' - https://innovationspace.ansys.com/forum/forums/topic/under-relaxation-factors-4</t>
        </is>
      </c>
    </row>
    <row r="119">
      <c r="A119" s="57" t="inlineStr">
        <is>
          <t>CFD Online forum, 'Reverse flow pressure outlet' - https://cfd-online.com/Forums/fluent/94824-reverse-flow-pressure-outlet.html</t>
        </is>
      </c>
    </row>
    <row r="120">
      <c r="A120" s="57" t="inlineStr">
        <is>
          <t>ANSYS Innovation Space forum, pseudo-transient relaxation vs. outflow condition on a backflow case - https://innovationspace.ansys.com/forum/?p=247383</t>
        </is>
      </c>
    </row>
  </sheetData>
  <mergeCells count="44">
    <mergeCell ref="A16:F16"/>
    <mergeCell ref="A84:F84"/>
    <mergeCell ref="A75:F75"/>
    <mergeCell ref="A27:F27"/>
    <mergeCell ref="A105:F105"/>
    <mergeCell ref="A50:F50"/>
    <mergeCell ref="A18:F18"/>
    <mergeCell ref="A56:F56"/>
    <mergeCell ref="A21:F21"/>
    <mergeCell ref="E39:F39"/>
    <mergeCell ref="A55:F55"/>
    <mergeCell ref="B38:D38"/>
    <mergeCell ref="A95:F95"/>
    <mergeCell ref="A2:F2"/>
    <mergeCell ref="E35:F35"/>
    <mergeCell ref="B37:D37"/>
    <mergeCell ref="E38:F38"/>
    <mergeCell ref="A42:F42"/>
    <mergeCell ref="A76:F76"/>
    <mergeCell ref="B40:D40"/>
    <mergeCell ref="A106:F106"/>
    <mergeCell ref="A4:F4"/>
    <mergeCell ref="E40:F40"/>
    <mergeCell ref="A53:F53"/>
    <mergeCell ref="A72:F72"/>
    <mergeCell ref="A96:F96"/>
    <mergeCell ref="A52:F52"/>
    <mergeCell ref="A10:F10"/>
    <mergeCell ref="B36:D36"/>
    <mergeCell ref="A93:F93"/>
    <mergeCell ref="A19:F19"/>
    <mergeCell ref="B35:D35"/>
    <mergeCell ref="A58:F58"/>
    <mergeCell ref="A34:F34"/>
    <mergeCell ref="E36:F36"/>
    <mergeCell ref="A92:F92"/>
    <mergeCell ref="A64:F64"/>
    <mergeCell ref="A73:F73"/>
    <mergeCell ref="A51:F51"/>
    <mergeCell ref="A98:F98"/>
    <mergeCell ref="A1:F1"/>
    <mergeCell ref="E37:F37"/>
    <mergeCell ref="A78:F78"/>
    <mergeCell ref="B39:D3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2"/>
  <sheetViews>
    <sheetView showGridLines="0" workbookViewId="0">
      <pane ySplit="4" topLeftCell="A5" activePane="bottomLeft" state="frozen"/>
      <selection pane="bottomLeft" activeCell="A1" sqref="A1"/>
    </sheetView>
  </sheetViews>
  <sheetFormatPr baseColWidth="8" defaultRowHeight="15"/>
  <cols>
    <col width="7" customWidth="1" min="1" max="1"/>
    <col width="10" customWidth="1" min="2" max="2"/>
    <col width="9" customWidth="1" min="3" max="3"/>
    <col width="10" customWidth="1" min="4" max="4"/>
    <col width="10" customWidth="1" min="5" max="5"/>
    <col width="10" customWidth="1" min="6" max="6"/>
    <col width="9" customWidth="1" min="7" max="7"/>
    <col width="11" customWidth="1" min="8" max="8"/>
    <col width="16" customWidth="1" min="9" max="9"/>
    <col width="50" customWidth="1" min="10" max="10"/>
    <col width="14" customWidth="1" min="11" max="11"/>
    <col width="9" customWidth="1" min="12" max="12"/>
    <col width="9" customWidth="1" min="13" max="13"/>
    <col width="13" customWidth="1" min="14" max="14"/>
    <col width="13" customWidth="1" min="15" max="15"/>
    <col width="12" customWidth="1" min="16" max="16"/>
    <col width="12" customWidth="1" min="17" max="17"/>
  </cols>
  <sheetData>
    <row r="1" ht="22" customHeight="1">
      <c r="A1" s="1" t="inlineStr">
        <is>
          <t>PTSC Receiver with Hollow Twisted Square Promoter — Parameter &amp; Run-Tracking Table</t>
        </is>
      </c>
      <c r="B1" s="13" t="n"/>
      <c r="C1" s="13" t="n"/>
      <c r="D1" s="13" t="n"/>
      <c r="E1" s="13" t="n"/>
      <c r="F1" s="13" t="n"/>
      <c r="G1" s="13" t="n"/>
      <c r="H1" s="13" t="n"/>
      <c r="I1" s="13" t="n"/>
      <c r="J1" s="14" t="n"/>
    </row>
    <row r="2" ht="16" customHeight="1">
      <c r="A2" s="2" t="inlineStr">
        <is>
          <t>Fixed for every run: dto=70mm, dti=66mm, L=2000mm, fluid=Syltherm-800, T_in=500K, same solar-flux boundary condition</t>
        </is>
      </c>
      <c r="B2" s="13" t="n"/>
      <c r="C2" s="13" t="n"/>
      <c r="D2" s="13" t="n"/>
      <c r="E2" s="13" t="n"/>
      <c r="F2" s="13" t="n"/>
      <c r="G2" s="13" t="n"/>
      <c r="H2" s="13" t="n"/>
      <c r="I2" s="13" t="n"/>
      <c r="J2" s="14" t="n"/>
    </row>
    <row r="4" ht="30" customHeight="1">
      <c r="A4" s="4" t="inlineStr">
        <is>
          <t>Run #</t>
        </is>
      </c>
      <c r="B4" s="4" t="inlineStr">
        <is>
          <t>Pt (mm)</t>
        </is>
      </c>
      <c r="C4" s="4" t="inlineStr">
        <is>
          <t>Pt / dti</t>
        </is>
      </c>
      <c r="D4" s="4" t="inlineStr">
        <is>
          <t>dpo (mm)</t>
        </is>
      </c>
      <c r="E4" s="4" t="inlineStr">
        <is>
          <t>dpi (mm)</t>
        </is>
      </c>
      <c r="F4" s="4" t="inlineStr">
        <is>
          <t>dpo / dti</t>
        </is>
      </c>
      <c r="G4" s="4" t="inlineStr">
        <is>
          <t>tp / dpo</t>
        </is>
      </c>
      <c r="H4" s="4" t="inlineStr">
        <is>
          <t>Re (target)</t>
        </is>
      </c>
      <c r="I4" s="4" t="inlineStr">
        <is>
          <t>Status</t>
        </is>
      </c>
      <c r="J4" s="4" t="inlineStr">
        <is>
          <t>Notes</t>
        </is>
      </c>
      <c r="K4" s="4" t="inlineStr">
        <is>
          <t>Nanofluid</t>
        </is>
      </c>
      <c r="L4" s="4" t="inlineStr">
        <is>
          <t>phi (%)</t>
        </is>
      </c>
      <c r="M4" s="4" t="inlineStr">
        <is>
          <t>Split</t>
        </is>
      </c>
      <c r="N4" s="4" t="inlineStr">
        <is>
          <t>rho_hnf (kg/m3)</t>
        </is>
      </c>
      <c r="O4" s="4" t="inlineStr">
        <is>
          <t>Cp_hnf (J/kg-K)</t>
        </is>
      </c>
      <c r="P4" s="4" t="inlineStr">
        <is>
          <t>k_hnf (W/m-K)</t>
        </is>
      </c>
      <c r="Q4" s="4" t="inlineStr">
        <is>
          <t>mu_hnf (Pa-s)</t>
        </is>
      </c>
    </row>
    <row r="5">
      <c r="A5" s="3" t="inlineStr">
        <is>
          <t>Reference Case — Smooth Tube Baseline (no promoter), used for Nu0 / f0</t>
        </is>
      </c>
      <c r="B5" s="13" t="n"/>
      <c r="C5" s="13" t="n"/>
      <c r="D5" s="13" t="n"/>
      <c r="E5" s="13" t="n"/>
      <c r="F5" s="13" t="n"/>
      <c r="G5" s="13" t="n"/>
      <c r="H5" s="13" t="n"/>
      <c r="I5" s="13" t="n"/>
      <c r="J5" s="14" t="n"/>
    </row>
    <row r="6" ht="15" customHeight="1">
      <c r="A6" s="8" t="n">
        <v>1</v>
      </c>
      <c r="B6" s="8" t="inlineStr">
        <is>
          <t>-</t>
        </is>
      </c>
      <c r="C6" s="8" t="inlineStr">
        <is>
          <t>-</t>
        </is>
      </c>
      <c r="D6" s="8" t="inlineStr">
        <is>
          <t>-</t>
        </is>
      </c>
      <c r="E6" s="8" t="inlineStr">
        <is>
          <t>-</t>
        </is>
      </c>
      <c r="F6" s="8" t="inlineStr">
        <is>
          <t>-</t>
        </is>
      </c>
      <c r="G6" s="8" t="inlineStr">
        <is>
          <t>-</t>
        </is>
      </c>
      <c r="H6" s="8" t="n">
        <v>5000</v>
      </c>
      <c r="I6" s="8" t="inlineStr">
        <is>
          <t>Done</t>
        </is>
      </c>
      <c r="J6" s="9" t="inlineStr">
        <is>
          <t>Real CFD smooth-tube run at this Re; source of Nu0/f0 (no correlation used)</t>
        </is>
      </c>
      <c r="K6" s="16" t="n"/>
      <c r="L6" s="16" t="n"/>
      <c r="M6" s="16" t="n"/>
      <c r="N6" s="16" t="n"/>
      <c r="O6" s="16" t="n"/>
      <c r="P6" s="16" t="n"/>
      <c r="Q6" s="16" t="n"/>
    </row>
    <row r="7" ht="15" customHeight="1">
      <c r="A7" s="8" t="n">
        <v>2</v>
      </c>
      <c r="B7" s="8" t="inlineStr">
        <is>
          <t>-</t>
        </is>
      </c>
      <c r="C7" s="8" t="inlineStr">
        <is>
          <t>-</t>
        </is>
      </c>
      <c r="D7" s="8" t="inlineStr">
        <is>
          <t>-</t>
        </is>
      </c>
      <c r="E7" s="8" t="inlineStr">
        <is>
          <t>-</t>
        </is>
      </c>
      <c r="F7" s="8" t="inlineStr">
        <is>
          <t>-</t>
        </is>
      </c>
      <c r="G7" s="8" t="inlineStr">
        <is>
          <t>-</t>
        </is>
      </c>
      <c r="H7" s="8" t="n">
        <v>10000</v>
      </c>
      <c r="I7" s="8" t="inlineStr">
        <is>
          <t>Done</t>
        </is>
      </c>
      <c r="J7" s="9" t="inlineStr">
        <is>
          <t>Real CFD smooth-tube run at this Re; source of Nu0/f0 (no correlation used)</t>
        </is>
      </c>
      <c r="K7" s="16" t="n"/>
      <c r="L7" s="16" t="n"/>
      <c r="M7" s="16" t="n"/>
      <c r="N7" s="16" t="n"/>
      <c r="O7" s="16" t="n"/>
      <c r="P7" s="16" t="n"/>
      <c r="Q7" s="16" t="n"/>
    </row>
    <row r="8" ht="15" customHeight="1">
      <c r="A8" s="8" t="n">
        <v>3</v>
      </c>
      <c r="B8" s="8" t="inlineStr">
        <is>
          <t>-</t>
        </is>
      </c>
      <c r="C8" s="8" t="inlineStr">
        <is>
          <t>-</t>
        </is>
      </c>
      <c r="D8" s="8" t="inlineStr">
        <is>
          <t>-</t>
        </is>
      </c>
      <c r="E8" s="8" t="inlineStr">
        <is>
          <t>-</t>
        </is>
      </c>
      <c r="F8" s="8" t="inlineStr">
        <is>
          <t>-</t>
        </is>
      </c>
      <c r="G8" s="8" t="inlineStr">
        <is>
          <t>-</t>
        </is>
      </c>
      <c r="H8" s="8" t="n">
        <v>15000</v>
      </c>
      <c r="I8" s="8" t="inlineStr">
        <is>
          <t>Done</t>
        </is>
      </c>
      <c r="J8" s="9" t="inlineStr">
        <is>
          <t>Real CFD smooth-tube run at this Re; source of Nu0/f0 (no correlation used)</t>
        </is>
      </c>
      <c r="K8" s="16" t="n"/>
      <c r="L8" s="16" t="n"/>
      <c r="M8" s="16" t="n"/>
      <c r="N8" s="16" t="n"/>
      <c r="O8" s="16" t="n"/>
      <c r="P8" s="16" t="n"/>
      <c r="Q8" s="16" t="n"/>
    </row>
    <row r="9" ht="15" customHeight="1">
      <c r="A9" s="8" t="n">
        <v>4</v>
      </c>
      <c r="B9" s="8" t="inlineStr">
        <is>
          <t>-</t>
        </is>
      </c>
      <c r="C9" s="8" t="inlineStr">
        <is>
          <t>-</t>
        </is>
      </c>
      <c r="D9" s="8" t="inlineStr">
        <is>
          <t>-</t>
        </is>
      </c>
      <c r="E9" s="8" t="inlineStr">
        <is>
          <t>-</t>
        </is>
      </c>
      <c r="F9" s="8" t="inlineStr">
        <is>
          <t>-</t>
        </is>
      </c>
      <c r="G9" s="8" t="inlineStr">
        <is>
          <t>-</t>
        </is>
      </c>
      <c r="H9" s="8" t="n">
        <v>20000</v>
      </c>
      <c r="I9" s="8" t="inlineStr">
        <is>
          <t>Done</t>
        </is>
      </c>
      <c r="J9" s="9" t="inlineStr">
        <is>
          <t>Real CFD smooth-tube run at this Re; source of Nu0/f0 (no correlation used)</t>
        </is>
      </c>
      <c r="K9" s="16" t="n"/>
      <c r="L9" s="16" t="n"/>
      <c r="M9" s="16" t="n"/>
      <c r="N9" s="16" t="n"/>
      <c r="O9" s="16" t="n"/>
      <c r="P9" s="16" t="n"/>
      <c r="Q9" s="16" t="n"/>
    </row>
    <row r="10" ht="15" customHeight="1">
      <c r="A10" s="8" t="n">
        <v>5</v>
      </c>
      <c r="B10" s="8" t="inlineStr">
        <is>
          <t>-</t>
        </is>
      </c>
      <c r="C10" s="8" t="inlineStr">
        <is>
          <t>-</t>
        </is>
      </c>
      <c r="D10" s="8" t="inlineStr">
        <is>
          <t>-</t>
        </is>
      </c>
      <c r="E10" s="8" t="inlineStr">
        <is>
          <t>-</t>
        </is>
      </c>
      <c r="F10" s="8" t="inlineStr">
        <is>
          <t>-</t>
        </is>
      </c>
      <c r="G10" s="8" t="inlineStr">
        <is>
          <t>-</t>
        </is>
      </c>
      <c r="H10" s="8" t="n">
        <v>25000</v>
      </c>
      <c r="I10" s="8" t="inlineStr">
        <is>
          <t>Done</t>
        </is>
      </c>
      <c r="J10" s="9" t="inlineStr">
        <is>
          <t>Real CFD smooth-tube run at this Re; source of Nu0/f0 (no correlation used)</t>
        </is>
      </c>
      <c r="K10" s="16" t="n"/>
      <c r="L10" s="16" t="n"/>
      <c r="M10" s="16" t="n"/>
      <c r="N10" s="16" t="n"/>
      <c r="O10" s="16" t="n"/>
      <c r="P10" s="16" t="n"/>
      <c r="Q10" s="16" t="n"/>
    </row>
    <row r="11" ht="15" customHeight="1">
      <c r="A11" s="8" t="n">
        <v>6</v>
      </c>
      <c r="B11" s="8" t="inlineStr">
        <is>
          <t>-</t>
        </is>
      </c>
      <c r="C11" s="8" t="inlineStr">
        <is>
          <t>-</t>
        </is>
      </c>
      <c r="D11" s="8" t="inlineStr">
        <is>
          <t>-</t>
        </is>
      </c>
      <c r="E11" s="8" t="inlineStr">
        <is>
          <t>-</t>
        </is>
      </c>
      <c r="F11" s="8" t="inlineStr">
        <is>
          <t>-</t>
        </is>
      </c>
      <c r="G11" s="8" t="inlineStr">
        <is>
          <t>-</t>
        </is>
      </c>
      <c r="H11" s="8" t="n">
        <v>30000</v>
      </c>
      <c r="I11" s="8" t="inlineStr">
        <is>
          <t>Done</t>
        </is>
      </c>
      <c r="J11" s="9" t="inlineStr">
        <is>
          <t>Real CFD smooth-tube run at this Re; source of Nu0/f0 (no correlation used)</t>
        </is>
      </c>
      <c r="K11" s="16" t="n"/>
      <c r="L11" s="16" t="n"/>
      <c r="M11" s="16" t="n"/>
      <c r="N11" s="16" t="n"/>
      <c r="O11" s="16" t="n"/>
      <c r="P11" s="16" t="n"/>
      <c r="Q11" s="16" t="n"/>
    </row>
    <row r="12">
      <c r="A12" s="3" t="inlineStr">
        <is>
          <t>Stage 1 — Twist Pitch Screening (dpo/dti = 0.23 baseline, wall ratio = 0.07 baseline)</t>
        </is>
      </c>
      <c r="B12" s="13" t="n"/>
      <c r="C12" s="13" t="n"/>
      <c r="D12" s="13" t="n"/>
      <c r="E12" s="13" t="n"/>
      <c r="F12" s="13" t="n"/>
      <c r="G12" s="13" t="n"/>
      <c r="H12" s="13" t="n"/>
      <c r="I12" s="13" t="n"/>
      <c r="J12" s="14" t="n"/>
      <c r="K12" s="16" t="n"/>
      <c r="L12" s="16" t="n"/>
      <c r="M12" s="16" t="n"/>
      <c r="N12" s="16" t="n"/>
      <c r="O12" s="16" t="n"/>
      <c r="P12" s="16" t="n"/>
      <c r="Q12" s="16" t="n"/>
    </row>
    <row r="13" ht="15" customHeight="1">
      <c r="A13" s="8" t="n">
        <v>7</v>
      </c>
      <c r="B13" s="8" t="n">
        <v>200</v>
      </c>
      <c r="C13" s="8" t="n">
        <v>3.0303</v>
      </c>
      <c r="D13" s="8" t="n">
        <v>15</v>
      </c>
      <c r="E13" s="8" t="n">
        <v>12.9</v>
      </c>
      <c r="F13" s="8" t="n">
        <v>0.2273</v>
      </c>
      <c r="G13" s="8" t="n">
        <v>0.07000000000000001</v>
      </c>
      <c r="H13" s="8" t="n">
        <v>5000</v>
      </c>
      <c r="I13" s="8" t="inlineStr">
        <is>
          <t>Done</t>
        </is>
      </c>
      <c r="J13" s="9" t="inlineStr">
        <is>
          <t>Completed and logged</t>
        </is>
      </c>
      <c r="K13" s="16" t="n"/>
      <c r="L13" s="16" t="n"/>
      <c r="M13" s="16" t="n"/>
      <c r="N13" s="16" t="n"/>
      <c r="O13" s="16" t="n"/>
      <c r="P13" s="16" t="n"/>
      <c r="Q13" s="16" t="n"/>
    </row>
    <row r="14" ht="15" customHeight="1">
      <c r="A14" s="8" t="n">
        <v>8</v>
      </c>
      <c r="B14" s="8" t="n">
        <v>200</v>
      </c>
      <c r="C14" s="8" t="n">
        <v>3.0303</v>
      </c>
      <c r="D14" s="8" t="n">
        <v>15</v>
      </c>
      <c r="E14" s="8" t="n">
        <v>12.9</v>
      </c>
      <c r="F14" s="8" t="n">
        <v>0.2273</v>
      </c>
      <c r="G14" s="8" t="n">
        <v>0.07000000000000001</v>
      </c>
      <c r="H14" s="8" t="n">
        <v>10000</v>
      </c>
      <c r="I14" s="8" t="inlineStr">
        <is>
          <t>Done</t>
        </is>
      </c>
      <c r="J14" s="9" t="inlineStr">
        <is>
          <t>Completed and logged</t>
        </is>
      </c>
      <c r="K14" s="16" t="n"/>
      <c r="L14" s="16" t="n"/>
      <c r="M14" s="16" t="n"/>
      <c r="N14" s="16" t="n"/>
      <c r="O14" s="16" t="n"/>
      <c r="P14" s="16" t="n"/>
      <c r="Q14" s="16" t="n"/>
    </row>
    <row r="15" ht="15" customHeight="1">
      <c r="A15" s="8" t="n">
        <v>9</v>
      </c>
      <c r="B15" s="8" t="n">
        <v>200</v>
      </c>
      <c r="C15" s="8" t="n">
        <v>3.0303</v>
      </c>
      <c r="D15" s="8" t="n">
        <v>15</v>
      </c>
      <c r="E15" s="8" t="n">
        <v>12.9</v>
      </c>
      <c r="F15" s="8" t="n">
        <v>0.2273</v>
      </c>
      <c r="G15" s="8" t="n">
        <v>0.07000000000000001</v>
      </c>
      <c r="H15" s="8" t="n">
        <v>15000</v>
      </c>
      <c r="I15" s="8" t="inlineStr">
        <is>
          <t>Done</t>
        </is>
      </c>
      <c r="J15" s="9" t="inlineStr">
        <is>
          <t>Completed and logged</t>
        </is>
      </c>
      <c r="K15" s="16" t="n"/>
      <c r="L15" s="16" t="n"/>
      <c r="M15" s="16" t="n"/>
      <c r="N15" s="16" t="n"/>
      <c r="O15" s="16" t="n"/>
      <c r="P15" s="16" t="n"/>
      <c r="Q15" s="16" t="n"/>
    </row>
    <row r="16" ht="15" customHeight="1">
      <c r="A16" s="8" t="n">
        <v>10</v>
      </c>
      <c r="B16" s="8" t="n">
        <v>200</v>
      </c>
      <c r="C16" s="8" t="n">
        <v>3.0303</v>
      </c>
      <c r="D16" s="8" t="n">
        <v>15</v>
      </c>
      <c r="E16" s="8" t="n">
        <v>12.9</v>
      </c>
      <c r="F16" s="8" t="n">
        <v>0.2273</v>
      </c>
      <c r="G16" s="8" t="n">
        <v>0.07000000000000001</v>
      </c>
      <c r="H16" s="8" t="n">
        <v>20000</v>
      </c>
      <c r="I16" s="8" t="inlineStr">
        <is>
          <t>Done</t>
        </is>
      </c>
      <c r="J16" s="9" t="inlineStr">
        <is>
          <t>Completed and logged</t>
        </is>
      </c>
      <c r="K16" s="16" t="n"/>
      <c r="L16" s="16" t="n"/>
      <c r="M16" s="16" t="n"/>
      <c r="N16" s="16" t="n"/>
      <c r="O16" s="16" t="n"/>
      <c r="P16" s="16" t="n"/>
      <c r="Q16" s="16" t="n"/>
    </row>
    <row r="17" ht="15" customHeight="1">
      <c r="A17" s="8" t="n">
        <v>11</v>
      </c>
      <c r="B17" s="8" t="n">
        <v>200</v>
      </c>
      <c r="C17" s="8" t="n">
        <v>3.0303</v>
      </c>
      <c r="D17" s="8" t="n">
        <v>15</v>
      </c>
      <c r="E17" s="8" t="n">
        <v>12.9</v>
      </c>
      <c r="F17" s="8" t="n">
        <v>0.2273</v>
      </c>
      <c r="G17" s="8" t="n">
        <v>0.07000000000000001</v>
      </c>
      <c r="H17" s="8" t="n">
        <v>25000</v>
      </c>
      <c r="I17" s="8" t="inlineStr">
        <is>
          <t>Done</t>
        </is>
      </c>
      <c r="J17" s="9" t="inlineStr">
        <is>
          <t>Completed and logged</t>
        </is>
      </c>
      <c r="K17" s="16" t="n"/>
      <c r="L17" s="16" t="n"/>
      <c r="M17" s="16" t="n"/>
      <c r="N17" s="16" t="n"/>
      <c r="O17" s="16" t="n"/>
      <c r="P17" s="16" t="n"/>
      <c r="Q17" s="16" t="n"/>
    </row>
    <row r="18" ht="15" customHeight="1">
      <c r="A18" s="8" t="n">
        <v>12</v>
      </c>
      <c r="B18" s="8" t="n">
        <v>200</v>
      </c>
      <c r="C18" s="8" t="n">
        <v>3.0303</v>
      </c>
      <c r="D18" s="8" t="n">
        <v>15</v>
      </c>
      <c r="E18" s="8" t="n">
        <v>12.9</v>
      </c>
      <c r="F18" s="8" t="n">
        <v>0.2273</v>
      </c>
      <c r="G18" s="8" t="n">
        <v>0.07000000000000001</v>
      </c>
      <c r="H18" s="8" t="n">
        <v>30000</v>
      </c>
      <c r="I18" s="8" t="inlineStr">
        <is>
          <t>Done</t>
        </is>
      </c>
      <c r="J18" s="9" t="inlineStr">
        <is>
          <t>Completed and logged</t>
        </is>
      </c>
      <c r="K18" s="16" t="n"/>
      <c r="L18" s="16" t="n"/>
      <c r="M18" s="16" t="n"/>
      <c r="N18" s="16" t="n"/>
      <c r="O18" s="16" t="n"/>
      <c r="P18" s="16" t="n"/>
      <c r="Q18" s="16" t="n"/>
    </row>
    <row r="19" ht="15" customHeight="1">
      <c r="A19" s="8" t="n">
        <v>13</v>
      </c>
      <c r="B19" s="8" t="n">
        <v>300</v>
      </c>
      <c r="C19" s="8" t="n">
        <v>4.5455</v>
      </c>
      <c r="D19" s="8" t="n">
        <v>15</v>
      </c>
      <c r="E19" s="8" t="n">
        <v>12.9</v>
      </c>
      <c r="F19" s="8" t="n">
        <v>0.2273</v>
      </c>
      <c r="G19" s="8" t="n">
        <v>0.07000000000000001</v>
      </c>
      <c r="H19" s="8" t="n">
        <v>5000</v>
      </c>
      <c r="I19" s="8" t="inlineStr">
        <is>
          <t>Done</t>
        </is>
      </c>
      <c r="J19" s="9" t="inlineStr">
        <is>
          <t>Completed and logged</t>
        </is>
      </c>
      <c r="K19" s="16" t="n"/>
      <c r="L19" s="16" t="n"/>
      <c r="M19" s="16" t="n"/>
      <c r="N19" s="16" t="n"/>
      <c r="O19" s="16" t="n"/>
      <c r="P19" s="16" t="n"/>
      <c r="Q19" s="16" t="n"/>
    </row>
    <row r="20" ht="15" customHeight="1">
      <c r="A20" s="8" t="n">
        <v>14</v>
      </c>
      <c r="B20" s="8" t="n">
        <v>300</v>
      </c>
      <c r="C20" s="8" t="n">
        <v>4.5455</v>
      </c>
      <c r="D20" s="8" t="n">
        <v>15</v>
      </c>
      <c r="E20" s="8" t="n">
        <v>12.9</v>
      </c>
      <c r="F20" s="8" t="n">
        <v>0.2273</v>
      </c>
      <c r="G20" s="8" t="n">
        <v>0.07000000000000001</v>
      </c>
      <c r="H20" s="8" t="n">
        <v>10000</v>
      </c>
      <c r="I20" s="8" t="inlineStr">
        <is>
          <t>Done</t>
        </is>
      </c>
      <c r="J20" s="9" t="inlineStr">
        <is>
          <t>Completed and logged</t>
        </is>
      </c>
      <c r="K20" s="16" t="n"/>
      <c r="L20" s="16" t="n"/>
      <c r="M20" s="16" t="n"/>
      <c r="N20" s="16" t="n"/>
      <c r="O20" s="16" t="n"/>
      <c r="P20" s="16" t="n"/>
      <c r="Q20" s="16" t="n"/>
    </row>
    <row r="21" ht="15" customHeight="1">
      <c r="A21" s="8" t="n">
        <v>15</v>
      </c>
      <c r="B21" s="8" t="n">
        <v>300</v>
      </c>
      <c r="C21" s="8" t="n">
        <v>4.5455</v>
      </c>
      <c r="D21" s="8" t="n">
        <v>15</v>
      </c>
      <c r="E21" s="8" t="n">
        <v>12.9</v>
      </c>
      <c r="F21" s="8" t="n">
        <v>0.2273</v>
      </c>
      <c r="G21" s="8" t="n">
        <v>0.07000000000000001</v>
      </c>
      <c r="H21" s="8" t="n">
        <v>15000</v>
      </c>
      <c r="I21" s="8" t="inlineStr">
        <is>
          <t>Done</t>
        </is>
      </c>
      <c r="J21" s="9" t="inlineStr">
        <is>
          <t>Completed and logged</t>
        </is>
      </c>
      <c r="K21" s="16" t="n"/>
      <c r="L21" s="16" t="n"/>
      <c r="M21" s="16" t="n"/>
      <c r="N21" s="16" t="n"/>
      <c r="O21" s="16" t="n"/>
      <c r="P21" s="16" t="n"/>
      <c r="Q21" s="16" t="n"/>
    </row>
    <row r="22" ht="15" customHeight="1">
      <c r="A22" s="8" t="n">
        <v>16</v>
      </c>
      <c r="B22" s="8" t="n">
        <v>300</v>
      </c>
      <c r="C22" s="8" t="n">
        <v>4.5455</v>
      </c>
      <c r="D22" s="8" t="n">
        <v>15</v>
      </c>
      <c r="E22" s="8" t="n">
        <v>12.9</v>
      </c>
      <c r="F22" s="8" t="n">
        <v>0.2273</v>
      </c>
      <c r="G22" s="8" t="n">
        <v>0.07000000000000001</v>
      </c>
      <c r="H22" s="8" t="n">
        <v>20000</v>
      </c>
      <c r="I22" s="8" t="inlineStr">
        <is>
          <t>Done</t>
        </is>
      </c>
      <c r="J22" s="9" t="inlineStr">
        <is>
          <t>Completed and logged</t>
        </is>
      </c>
      <c r="K22" s="16" t="n"/>
      <c r="L22" s="16" t="n"/>
      <c r="M22" s="16" t="n"/>
      <c r="N22" s="16" t="n"/>
      <c r="O22" s="16" t="n"/>
      <c r="P22" s="16" t="n"/>
      <c r="Q22" s="16" t="n"/>
    </row>
    <row r="23" ht="15" customHeight="1">
      <c r="A23" s="8" t="n">
        <v>17</v>
      </c>
      <c r="B23" s="8" t="n">
        <v>300</v>
      </c>
      <c r="C23" s="8" t="n">
        <v>4.5455</v>
      </c>
      <c r="D23" s="8" t="n">
        <v>15</v>
      </c>
      <c r="E23" s="8" t="n">
        <v>12.9</v>
      </c>
      <c r="F23" s="8" t="n">
        <v>0.2273</v>
      </c>
      <c r="G23" s="8" t="n">
        <v>0.07000000000000001</v>
      </c>
      <c r="H23" s="8" t="n">
        <v>25000</v>
      </c>
      <c r="I23" s="8" t="inlineStr">
        <is>
          <t>Done</t>
        </is>
      </c>
      <c r="J23" s="9" t="inlineStr">
        <is>
          <t>Completed and logged</t>
        </is>
      </c>
      <c r="K23" s="16" t="n"/>
      <c r="L23" s="16" t="n"/>
      <c r="M23" s="16" t="n"/>
      <c r="N23" s="16" t="n"/>
      <c r="O23" s="16" t="n"/>
      <c r="P23" s="16" t="n"/>
      <c r="Q23" s="16" t="n"/>
    </row>
    <row r="24" ht="15" customHeight="1">
      <c r="A24" s="8" t="n">
        <v>18</v>
      </c>
      <c r="B24" s="8" t="n">
        <v>300</v>
      </c>
      <c r="C24" s="8" t="n">
        <v>4.5455</v>
      </c>
      <c r="D24" s="8" t="n">
        <v>15</v>
      </c>
      <c r="E24" s="8" t="n">
        <v>12.9</v>
      </c>
      <c r="F24" s="8" t="n">
        <v>0.2273</v>
      </c>
      <c r="G24" s="8" t="n">
        <v>0.07000000000000001</v>
      </c>
      <c r="H24" s="8" t="n">
        <v>30000</v>
      </c>
      <c r="I24" s="8" t="inlineStr">
        <is>
          <t>Done</t>
        </is>
      </c>
      <c r="J24" s="9" t="inlineStr">
        <is>
          <t>Completed and logged</t>
        </is>
      </c>
      <c r="K24" s="16" t="n"/>
      <c r="L24" s="16" t="n"/>
      <c r="M24" s="16" t="n"/>
      <c r="N24" s="16" t="n"/>
      <c r="O24" s="16" t="n"/>
      <c r="P24" s="16" t="n"/>
      <c r="Q24" s="16" t="n"/>
    </row>
    <row r="25" ht="15" customHeight="1">
      <c r="A25" s="8" t="n">
        <v>19</v>
      </c>
      <c r="B25" s="8" t="n">
        <v>400</v>
      </c>
      <c r="C25" s="8" t="n">
        <v>6.0606</v>
      </c>
      <c r="D25" s="8" t="n">
        <v>15</v>
      </c>
      <c r="E25" s="8" t="n">
        <v>12.9</v>
      </c>
      <c r="F25" s="8" t="n">
        <v>0.2273</v>
      </c>
      <c r="G25" s="8" t="n">
        <v>0.07000000000000001</v>
      </c>
      <c r="H25" s="8" t="n">
        <v>5000</v>
      </c>
      <c r="I25" s="8" t="inlineStr">
        <is>
          <t>Done</t>
        </is>
      </c>
      <c r="J25" s="9" t="inlineStr">
        <is>
          <t>Completed and logged</t>
        </is>
      </c>
      <c r="K25" s="16" t="n"/>
      <c r="L25" s="16" t="n"/>
      <c r="M25" s="16" t="n"/>
      <c r="N25" s="16" t="n"/>
      <c r="O25" s="16" t="n"/>
      <c r="P25" s="16" t="n"/>
      <c r="Q25" s="16" t="n"/>
    </row>
    <row r="26" ht="15" customHeight="1">
      <c r="A26" s="8" t="n">
        <v>20</v>
      </c>
      <c r="B26" s="8" t="n">
        <v>400</v>
      </c>
      <c r="C26" s="8" t="n">
        <v>6.0606</v>
      </c>
      <c r="D26" s="8" t="n">
        <v>15</v>
      </c>
      <c r="E26" s="8" t="n">
        <v>12.9</v>
      </c>
      <c r="F26" s="8" t="n">
        <v>0.2273</v>
      </c>
      <c r="G26" s="8" t="n">
        <v>0.07000000000000001</v>
      </c>
      <c r="H26" s="8" t="n">
        <v>10000</v>
      </c>
      <c r="I26" s="8" t="inlineStr">
        <is>
          <t>Done</t>
        </is>
      </c>
      <c r="J26" s="9" t="inlineStr">
        <is>
          <t>Completed and logged</t>
        </is>
      </c>
      <c r="K26" s="16" t="n"/>
      <c r="L26" s="16" t="n"/>
      <c r="M26" s="16" t="n"/>
      <c r="N26" s="16" t="n"/>
      <c r="O26" s="16" t="n"/>
      <c r="P26" s="16" t="n"/>
      <c r="Q26" s="16" t="n"/>
    </row>
    <row r="27" ht="15" customHeight="1">
      <c r="A27" s="8" t="n">
        <v>21</v>
      </c>
      <c r="B27" s="8" t="n">
        <v>400</v>
      </c>
      <c r="C27" s="8" t="n">
        <v>6.0606</v>
      </c>
      <c r="D27" s="8" t="n">
        <v>15</v>
      </c>
      <c r="E27" s="8" t="n">
        <v>12.9</v>
      </c>
      <c r="F27" s="8" t="n">
        <v>0.2273</v>
      </c>
      <c r="G27" s="8" t="n">
        <v>0.07000000000000001</v>
      </c>
      <c r="H27" s="8" t="n">
        <v>15000</v>
      </c>
      <c r="I27" s="8" t="inlineStr">
        <is>
          <t>Done</t>
        </is>
      </c>
      <c r="J27" s="9" t="inlineStr">
        <is>
          <t>Completed and logged</t>
        </is>
      </c>
      <c r="K27" s="16" t="n"/>
      <c r="L27" s="16" t="n"/>
      <c r="M27" s="16" t="n"/>
      <c r="N27" s="16" t="n"/>
      <c r="O27" s="16" t="n"/>
      <c r="P27" s="16" t="n"/>
      <c r="Q27" s="16" t="n"/>
    </row>
    <row r="28" ht="15" customHeight="1">
      <c r="A28" s="8" t="n">
        <v>22</v>
      </c>
      <c r="B28" s="8" t="n">
        <v>400</v>
      </c>
      <c r="C28" s="8" t="n">
        <v>6.0606</v>
      </c>
      <c r="D28" s="8" t="n">
        <v>15</v>
      </c>
      <c r="E28" s="8" t="n">
        <v>12.9</v>
      </c>
      <c r="F28" s="8" t="n">
        <v>0.2273</v>
      </c>
      <c r="G28" s="8" t="n">
        <v>0.07000000000000001</v>
      </c>
      <c r="H28" s="8" t="n">
        <v>20000</v>
      </c>
      <c r="I28" s="8" t="inlineStr">
        <is>
          <t>Done</t>
        </is>
      </c>
      <c r="J28" s="9" t="inlineStr">
        <is>
          <t>Completed and logged</t>
        </is>
      </c>
      <c r="K28" s="16" t="n"/>
      <c r="L28" s="16" t="n"/>
      <c r="M28" s="16" t="n"/>
      <c r="N28" s="16" t="n"/>
      <c r="O28" s="16" t="n"/>
      <c r="P28" s="16" t="n"/>
      <c r="Q28" s="16" t="n"/>
    </row>
    <row r="29" ht="15" customHeight="1">
      <c r="A29" s="8" t="n">
        <v>23</v>
      </c>
      <c r="B29" s="8" t="n">
        <v>400</v>
      </c>
      <c r="C29" s="8" t="n">
        <v>6.0606</v>
      </c>
      <c r="D29" s="8" t="n">
        <v>15</v>
      </c>
      <c r="E29" s="8" t="n">
        <v>12.9</v>
      </c>
      <c r="F29" s="8" t="n">
        <v>0.2273</v>
      </c>
      <c r="G29" s="8" t="n">
        <v>0.07000000000000001</v>
      </c>
      <c r="H29" s="8" t="n">
        <v>25000</v>
      </c>
      <c r="I29" s="8" t="inlineStr">
        <is>
          <t>Done</t>
        </is>
      </c>
      <c r="J29" s="9" t="inlineStr">
        <is>
          <t>Completed and logged</t>
        </is>
      </c>
      <c r="K29" s="16" t="n"/>
      <c r="L29" s="16" t="n"/>
      <c r="M29" s="16" t="n"/>
      <c r="N29" s="16" t="n"/>
      <c r="O29" s="16" t="n"/>
      <c r="P29" s="16" t="n"/>
      <c r="Q29" s="16" t="n"/>
    </row>
    <row r="30" ht="15" customHeight="1">
      <c r="A30" s="8" t="n">
        <v>24</v>
      </c>
      <c r="B30" s="8" t="n">
        <v>400</v>
      </c>
      <c r="C30" s="8" t="n">
        <v>6.0606</v>
      </c>
      <c r="D30" s="8" t="n">
        <v>15</v>
      </c>
      <c r="E30" s="8" t="n">
        <v>12.9</v>
      </c>
      <c r="F30" s="8" t="n">
        <v>0.2273</v>
      </c>
      <c r="G30" s="8" t="n">
        <v>0.07000000000000001</v>
      </c>
      <c r="H30" s="8" t="n">
        <v>30000</v>
      </c>
      <c r="I30" s="8" t="inlineStr">
        <is>
          <t>Done</t>
        </is>
      </c>
      <c r="J30" s="9" t="inlineStr">
        <is>
          <t>Completed and logged</t>
        </is>
      </c>
      <c r="K30" s="16" t="n"/>
      <c r="L30" s="16" t="n"/>
      <c r="M30" s="16" t="n"/>
      <c r="N30" s="16" t="n"/>
      <c r="O30" s="16" t="n"/>
      <c r="P30" s="16" t="n"/>
      <c r="Q30" s="16" t="n"/>
    </row>
    <row r="31" ht="18" customHeight="1">
      <c r="A31" s="10" t="inlineStr">
        <is>
          <t>Result: Pt = 200 mm selected — PEC nearly tied across all three pitches (under 0.2% spread); carried forward as fixed from Stage 2 onward.</t>
        </is>
      </c>
      <c r="B31" s="13" t="n"/>
      <c r="C31" s="13" t="n"/>
      <c r="D31" s="13" t="n"/>
      <c r="E31" s="13" t="n"/>
      <c r="F31" s="13" t="n"/>
      <c r="G31" s="13" t="n"/>
      <c r="H31" s="13" t="n"/>
      <c r="I31" s="13" t="n"/>
      <c r="J31" s="14" t="n"/>
      <c r="K31" s="16" t="n"/>
      <c r="L31" s="16" t="n"/>
      <c r="M31" s="16" t="n"/>
      <c r="N31" s="16" t="n"/>
      <c r="O31" s="16" t="n"/>
      <c r="P31" s="16" t="n"/>
      <c r="Q31" s="16" t="n"/>
    </row>
    <row r="32">
      <c r="A32" s="3" t="inlineStr">
        <is>
          <t>Stage 2 — Promoter Size Screening (Pt = 200 mm fixed, wall ratio = 0.05 fixed)</t>
        </is>
      </c>
      <c r="B32" s="13" t="n"/>
      <c r="C32" s="13" t="n"/>
      <c r="D32" s="13" t="n"/>
      <c r="E32" s="13" t="n"/>
      <c r="F32" s="13" t="n"/>
      <c r="G32" s="13" t="n"/>
      <c r="H32" s="13" t="n"/>
      <c r="I32" s="13" t="n"/>
      <c r="J32" s="14" t="n"/>
      <c r="K32" s="16" t="n"/>
      <c r="L32" s="16" t="n"/>
      <c r="M32" s="16" t="n"/>
      <c r="N32" s="16" t="n"/>
      <c r="O32" s="16" t="n"/>
      <c r="P32" s="16" t="n"/>
      <c r="Q32" s="16" t="n"/>
    </row>
    <row r="33" ht="15" customHeight="1">
      <c r="A33" s="8" t="n">
        <v>25</v>
      </c>
      <c r="B33" s="8" t="n">
        <v>200</v>
      </c>
      <c r="C33" s="8" t="n">
        <v>3.0303</v>
      </c>
      <c r="D33" s="8" t="n">
        <v>9.9</v>
      </c>
      <c r="E33" s="8" t="n">
        <v>8.91</v>
      </c>
      <c r="F33" s="8" t="n">
        <v>0.15</v>
      </c>
      <c r="G33" s="8" t="n">
        <v>0.05</v>
      </c>
      <c r="H33" s="8" t="n">
        <v>5000</v>
      </c>
      <c r="I33" s="8" t="inlineStr">
        <is>
          <t>Done</t>
        </is>
      </c>
      <c r="J33" s="9" t="inlineStr">
        <is>
          <t>Completed and logged</t>
        </is>
      </c>
      <c r="K33" s="16" t="n"/>
      <c r="L33" s="16" t="n"/>
      <c r="M33" s="16" t="n"/>
      <c r="N33" s="16" t="n"/>
      <c r="O33" s="16" t="n"/>
      <c r="P33" s="16" t="n"/>
      <c r="Q33" s="16" t="n"/>
    </row>
    <row r="34" ht="15" customHeight="1">
      <c r="A34" s="8" t="n">
        <v>26</v>
      </c>
      <c r="B34" s="8" t="n">
        <v>200</v>
      </c>
      <c r="C34" s="8" t="n">
        <v>3.0303</v>
      </c>
      <c r="D34" s="8" t="n">
        <v>9.9</v>
      </c>
      <c r="E34" s="8" t="n">
        <v>8.91</v>
      </c>
      <c r="F34" s="8" t="n">
        <v>0.15</v>
      </c>
      <c r="G34" s="8" t="n">
        <v>0.05</v>
      </c>
      <c r="H34" s="8" t="n">
        <v>10000</v>
      </c>
      <c r="I34" s="8" t="inlineStr">
        <is>
          <t>Done</t>
        </is>
      </c>
      <c r="J34" s="9" t="inlineStr">
        <is>
          <t>Completed and logged</t>
        </is>
      </c>
      <c r="K34" s="16" t="n"/>
      <c r="L34" s="16" t="n"/>
      <c r="M34" s="16" t="n"/>
      <c r="N34" s="16" t="n"/>
      <c r="O34" s="16" t="n"/>
      <c r="P34" s="16" t="n"/>
      <c r="Q34" s="16" t="n"/>
    </row>
    <row r="35" ht="15" customHeight="1">
      <c r="A35" s="8" t="n">
        <v>27</v>
      </c>
      <c r="B35" s="8" t="n">
        <v>200</v>
      </c>
      <c r="C35" s="8" t="n">
        <v>3.0303</v>
      </c>
      <c r="D35" s="8" t="n">
        <v>9.9</v>
      </c>
      <c r="E35" s="8" t="n">
        <v>8.91</v>
      </c>
      <c r="F35" s="8" t="n">
        <v>0.15</v>
      </c>
      <c r="G35" s="8" t="n">
        <v>0.05</v>
      </c>
      <c r="H35" s="8" t="n">
        <v>15000</v>
      </c>
      <c r="I35" s="8" t="inlineStr">
        <is>
          <t>Done</t>
        </is>
      </c>
      <c r="J35" s="9" t="inlineStr">
        <is>
          <t>Completed and logged</t>
        </is>
      </c>
      <c r="K35" s="16" t="n"/>
      <c r="L35" s="16" t="n"/>
      <c r="M35" s="16" t="n"/>
      <c r="N35" s="16" t="n"/>
      <c r="O35" s="16" t="n"/>
      <c r="P35" s="16" t="n"/>
      <c r="Q35" s="16" t="n"/>
    </row>
    <row r="36" ht="15" customHeight="1">
      <c r="A36" s="8" t="n">
        <v>28</v>
      </c>
      <c r="B36" s="8" t="n">
        <v>200</v>
      </c>
      <c r="C36" s="8" t="n">
        <v>3.0303</v>
      </c>
      <c r="D36" s="8" t="n">
        <v>9.9</v>
      </c>
      <c r="E36" s="8" t="n">
        <v>8.91</v>
      </c>
      <c r="F36" s="8" t="n">
        <v>0.15</v>
      </c>
      <c r="G36" s="8" t="n">
        <v>0.05</v>
      </c>
      <c r="H36" s="8" t="n">
        <v>20000</v>
      </c>
      <c r="I36" s="8" t="inlineStr">
        <is>
          <t>Done</t>
        </is>
      </c>
      <c r="J36" s="9" t="inlineStr">
        <is>
          <t>Completed and logged</t>
        </is>
      </c>
      <c r="K36" s="16" t="n"/>
      <c r="L36" s="16" t="n"/>
      <c r="M36" s="16" t="n"/>
      <c r="N36" s="16" t="n"/>
      <c r="O36" s="16" t="n"/>
      <c r="P36" s="16" t="n"/>
      <c r="Q36" s="16" t="n"/>
    </row>
    <row r="37" ht="15" customHeight="1">
      <c r="A37" s="8" t="n">
        <v>29</v>
      </c>
      <c r="B37" s="8" t="n">
        <v>200</v>
      </c>
      <c r="C37" s="8" t="n">
        <v>3.0303</v>
      </c>
      <c r="D37" s="8" t="n">
        <v>9.9</v>
      </c>
      <c r="E37" s="8" t="n">
        <v>8.91</v>
      </c>
      <c r="F37" s="8" t="n">
        <v>0.15</v>
      </c>
      <c r="G37" s="8" t="n">
        <v>0.05</v>
      </c>
      <c r="H37" s="8" t="n">
        <v>25000</v>
      </c>
      <c r="I37" s="8" t="inlineStr">
        <is>
          <t>Done</t>
        </is>
      </c>
      <c r="J37" s="9" t="inlineStr">
        <is>
          <t>Completed and logged</t>
        </is>
      </c>
      <c r="K37" s="16" t="n"/>
      <c r="L37" s="16" t="n"/>
      <c r="M37" s="16" t="n"/>
      <c r="N37" s="16" t="n"/>
      <c r="O37" s="16" t="n"/>
      <c r="P37" s="16" t="n"/>
      <c r="Q37" s="16" t="n"/>
    </row>
    <row r="38" ht="15" customHeight="1">
      <c r="A38" s="8" t="n">
        <v>30</v>
      </c>
      <c r="B38" s="8" t="n">
        <v>200</v>
      </c>
      <c r="C38" s="8" t="n">
        <v>3.0303</v>
      </c>
      <c r="D38" s="8" t="n">
        <v>9.9</v>
      </c>
      <c r="E38" s="8" t="n">
        <v>8.91</v>
      </c>
      <c r="F38" s="8" t="n">
        <v>0.15</v>
      </c>
      <c r="G38" s="8" t="n">
        <v>0.05</v>
      </c>
      <c r="H38" s="8" t="n">
        <v>30000</v>
      </c>
      <c r="I38" s="8" t="inlineStr">
        <is>
          <t>Done</t>
        </is>
      </c>
      <c r="J38" s="9" t="inlineStr">
        <is>
          <t>Completed and logged</t>
        </is>
      </c>
      <c r="K38" s="16" t="n"/>
      <c r="L38" s="16" t="n"/>
      <c r="M38" s="16" t="n"/>
      <c r="N38" s="16" t="n"/>
      <c r="O38" s="16" t="n"/>
      <c r="P38" s="16" t="n"/>
      <c r="Q38" s="16" t="n"/>
    </row>
    <row r="39" ht="15" customHeight="1">
      <c r="A39" s="8" t="n">
        <v>31</v>
      </c>
      <c r="B39" s="8" t="n">
        <v>200</v>
      </c>
      <c r="C39" s="8" t="n">
        <v>3.0303</v>
      </c>
      <c r="D39" s="8" t="n">
        <v>13.2</v>
      </c>
      <c r="E39" s="8" t="n">
        <v>11.88</v>
      </c>
      <c r="F39" s="8" t="n">
        <v>0.2</v>
      </c>
      <c r="G39" s="8" t="n">
        <v>0.05</v>
      </c>
      <c r="H39" s="8" t="n">
        <v>5000</v>
      </c>
      <c r="I39" s="8" t="inlineStr">
        <is>
          <t>Done</t>
        </is>
      </c>
      <c r="J39" s="9" t="inlineStr">
        <is>
          <t>Completed and logged</t>
        </is>
      </c>
      <c r="K39" s="16" t="n"/>
      <c r="L39" s="16" t="n"/>
      <c r="M39" s="16" t="n"/>
      <c r="N39" s="16" t="n"/>
      <c r="O39" s="16" t="n"/>
      <c r="P39" s="16" t="n"/>
      <c r="Q39" s="16" t="n"/>
    </row>
    <row r="40" ht="15" customHeight="1">
      <c r="A40" s="8" t="n">
        <v>32</v>
      </c>
      <c r="B40" s="8" t="n">
        <v>200</v>
      </c>
      <c r="C40" s="8" t="n">
        <v>3.0303</v>
      </c>
      <c r="D40" s="8" t="n">
        <v>13.2</v>
      </c>
      <c r="E40" s="8" t="n">
        <v>11.88</v>
      </c>
      <c r="F40" s="8" t="n">
        <v>0.2</v>
      </c>
      <c r="G40" s="8" t="n">
        <v>0.05</v>
      </c>
      <c r="H40" s="8" t="n">
        <v>10000</v>
      </c>
      <c r="I40" s="8" t="inlineStr">
        <is>
          <t>Done</t>
        </is>
      </c>
      <c r="J40" s="9" t="inlineStr">
        <is>
          <t>Completed and logged</t>
        </is>
      </c>
      <c r="K40" s="16" t="n"/>
      <c r="L40" s="16" t="n"/>
      <c r="M40" s="16" t="n"/>
      <c r="N40" s="16" t="n"/>
      <c r="O40" s="16" t="n"/>
      <c r="P40" s="16" t="n"/>
      <c r="Q40" s="16" t="n"/>
    </row>
    <row r="41" ht="15" customHeight="1">
      <c r="A41" s="8" t="n">
        <v>33</v>
      </c>
      <c r="B41" s="8" t="n">
        <v>200</v>
      </c>
      <c r="C41" s="8" t="n">
        <v>3.0303</v>
      </c>
      <c r="D41" s="8" t="n">
        <v>13.2</v>
      </c>
      <c r="E41" s="8" t="n">
        <v>11.88</v>
      </c>
      <c r="F41" s="8" t="n">
        <v>0.2</v>
      </c>
      <c r="G41" s="8" t="n">
        <v>0.05</v>
      </c>
      <c r="H41" s="8" t="n">
        <v>15000</v>
      </c>
      <c r="I41" s="8" t="inlineStr">
        <is>
          <t>Done</t>
        </is>
      </c>
      <c r="J41" s="9" t="inlineStr">
        <is>
          <t>Completed and logged</t>
        </is>
      </c>
      <c r="K41" s="16" t="n"/>
      <c r="L41" s="16" t="n"/>
      <c r="M41" s="16" t="n"/>
      <c r="N41" s="16" t="n"/>
      <c r="O41" s="16" t="n"/>
      <c r="P41" s="16" t="n"/>
      <c r="Q41" s="16" t="n"/>
    </row>
    <row r="42" ht="15" customHeight="1">
      <c r="A42" s="8" t="n">
        <v>34</v>
      </c>
      <c r="B42" s="8" t="n">
        <v>200</v>
      </c>
      <c r="C42" s="8" t="n">
        <v>3.0303</v>
      </c>
      <c r="D42" s="8" t="n">
        <v>13.2</v>
      </c>
      <c r="E42" s="8" t="n">
        <v>11.88</v>
      </c>
      <c r="F42" s="8" t="n">
        <v>0.2</v>
      </c>
      <c r="G42" s="8" t="n">
        <v>0.05</v>
      </c>
      <c r="H42" s="8" t="n">
        <v>20000</v>
      </c>
      <c r="I42" s="8" t="inlineStr">
        <is>
          <t>Done</t>
        </is>
      </c>
      <c r="J42" s="9" t="inlineStr">
        <is>
          <t>Completed and logged</t>
        </is>
      </c>
      <c r="K42" s="16" t="n"/>
      <c r="L42" s="16" t="n"/>
      <c r="M42" s="16" t="n"/>
      <c r="N42" s="16" t="n"/>
      <c r="O42" s="16" t="n"/>
      <c r="P42" s="16" t="n"/>
      <c r="Q42" s="16" t="n"/>
    </row>
    <row r="43" ht="15" customHeight="1">
      <c r="A43" s="8" t="n">
        <v>35</v>
      </c>
      <c r="B43" s="8" t="n">
        <v>200</v>
      </c>
      <c r="C43" s="8" t="n">
        <v>3.0303</v>
      </c>
      <c r="D43" s="8" t="n">
        <v>13.2</v>
      </c>
      <c r="E43" s="8" t="n">
        <v>11.88</v>
      </c>
      <c r="F43" s="8" t="n">
        <v>0.2</v>
      </c>
      <c r="G43" s="8" t="n">
        <v>0.05</v>
      </c>
      <c r="H43" s="8" t="n">
        <v>25000</v>
      </c>
      <c r="I43" s="8" t="inlineStr">
        <is>
          <t>Done</t>
        </is>
      </c>
      <c r="J43" s="9" t="inlineStr">
        <is>
          <t>Completed and logged</t>
        </is>
      </c>
      <c r="K43" s="16" t="n"/>
      <c r="L43" s="16" t="n"/>
      <c r="M43" s="16" t="n"/>
      <c r="N43" s="16" t="n"/>
      <c r="O43" s="16" t="n"/>
      <c r="P43" s="16" t="n"/>
      <c r="Q43" s="16" t="n"/>
    </row>
    <row r="44" ht="15" customHeight="1">
      <c r="A44" s="8" t="n">
        <v>36</v>
      </c>
      <c r="B44" s="8" t="n">
        <v>200</v>
      </c>
      <c r="C44" s="8" t="n">
        <v>3.0303</v>
      </c>
      <c r="D44" s="8" t="n">
        <v>13.2</v>
      </c>
      <c r="E44" s="8" t="n">
        <v>11.88</v>
      </c>
      <c r="F44" s="8" t="n">
        <v>0.2</v>
      </c>
      <c r="G44" s="8" t="n">
        <v>0.05</v>
      </c>
      <c r="H44" s="8" t="n">
        <v>30000</v>
      </c>
      <c r="I44" s="8" t="inlineStr">
        <is>
          <t>Done</t>
        </is>
      </c>
      <c r="J44" s="9" t="inlineStr">
        <is>
          <t>Completed and logged</t>
        </is>
      </c>
      <c r="K44" s="16" t="n"/>
      <c r="L44" s="16" t="n"/>
      <c r="M44" s="16" t="n"/>
      <c r="N44" s="16" t="n"/>
      <c r="O44" s="16" t="n"/>
      <c r="P44" s="16" t="n"/>
      <c r="Q44" s="16" t="n"/>
    </row>
    <row r="45" ht="15" customHeight="1">
      <c r="A45" s="8" t="n">
        <v>37</v>
      </c>
      <c r="B45" s="8" t="n">
        <v>200</v>
      </c>
      <c r="C45" s="8" t="n">
        <v>3.0303</v>
      </c>
      <c r="D45" s="8" t="n">
        <v>16.5</v>
      </c>
      <c r="E45" s="8" t="n">
        <v>14.85</v>
      </c>
      <c r="F45" s="8" t="n">
        <v>0.25</v>
      </c>
      <c r="G45" s="8" t="n">
        <v>0.05</v>
      </c>
      <c r="H45" s="8" t="n">
        <v>5000</v>
      </c>
      <c r="I45" s="8" t="inlineStr">
        <is>
          <t>Done</t>
        </is>
      </c>
      <c r="J45" s="9" t="inlineStr">
        <is>
          <t>Completed and logged</t>
        </is>
      </c>
      <c r="K45" s="16" t="n"/>
      <c r="L45" s="16" t="n"/>
      <c r="M45" s="16" t="n"/>
      <c r="N45" s="16" t="n"/>
      <c r="O45" s="16" t="n"/>
      <c r="P45" s="16" t="n"/>
      <c r="Q45" s="16" t="n"/>
    </row>
    <row r="46" ht="15" customHeight="1">
      <c r="A46" s="8" t="n">
        <v>38</v>
      </c>
      <c r="B46" s="8" t="n">
        <v>200</v>
      </c>
      <c r="C46" s="8" t="n">
        <v>3.0303</v>
      </c>
      <c r="D46" s="8" t="n">
        <v>16.5</v>
      </c>
      <c r="E46" s="8" t="n">
        <v>14.85</v>
      </c>
      <c r="F46" s="8" t="n">
        <v>0.25</v>
      </c>
      <c r="G46" s="8" t="n">
        <v>0.05</v>
      </c>
      <c r="H46" s="8" t="n">
        <v>10000</v>
      </c>
      <c r="I46" s="8" t="inlineStr">
        <is>
          <t>Done</t>
        </is>
      </c>
      <c r="J46" s="9" t="inlineStr">
        <is>
          <t>Completed and logged</t>
        </is>
      </c>
      <c r="K46" s="16" t="n"/>
      <c r="L46" s="16" t="n"/>
      <c r="M46" s="16" t="n"/>
      <c r="N46" s="16" t="n"/>
      <c r="O46" s="16" t="n"/>
      <c r="P46" s="16" t="n"/>
      <c r="Q46" s="16" t="n"/>
    </row>
    <row r="47" ht="15" customHeight="1">
      <c r="A47" s="35" t="n">
        <v>39</v>
      </c>
      <c r="B47" s="35" t="n">
        <v>200</v>
      </c>
      <c r="C47" s="35" t="n">
        <v>3.0303</v>
      </c>
      <c r="D47" s="35" t="n">
        <v>16.5</v>
      </c>
      <c r="E47" s="35" t="n">
        <v>14.85</v>
      </c>
      <c r="F47" s="35" t="n">
        <v>0.25</v>
      </c>
      <c r="G47" s="35" t="n">
        <v>0.05</v>
      </c>
      <c r="H47" s="35" t="n">
        <v>15000</v>
      </c>
      <c r="I47" s="52" t="inlineStr">
        <is>
          <t>Done</t>
        </is>
      </c>
      <c r="J47" s="55" t="inlineStr">
        <is>
          <t>FIXED 2026-10-07 — transient-then-Steady re-run converged cleanly. See Grand Output v2 sheet, case #15.</t>
        </is>
      </c>
      <c r="K47" s="16" t="n"/>
      <c r="L47" s="16" t="n"/>
      <c r="M47" s="16" t="n"/>
      <c r="N47" s="16" t="n"/>
      <c r="O47" s="16" t="n"/>
      <c r="P47" s="16" t="n"/>
      <c r="Q47" s="16" t="n"/>
    </row>
    <row r="48" ht="15" customHeight="1">
      <c r="A48" s="8" t="n">
        <v>40</v>
      </c>
      <c r="B48" s="8" t="n">
        <v>200</v>
      </c>
      <c r="C48" s="8" t="n">
        <v>3.0303</v>
      </c>
      <c r="D48" s="8" t="n">
        <v>16.5</v>
      </c>
      <c r="E48" s="8" t="n">
        <v>14.85</v>
      </c>
      <c r="F48" s="8" t="n">
        <v>0.25</v>
      </c>
      <c r="G48" s="8" t="n">
        <v>0.05</v>
      </c>
      <c r="H48" s="8" t="n">
        <v>20000</v>
      </c>
      <c r="I48" s="8" t="inlineStr">
        <is>
          <t>Done</t>
        </is>
      </c>
      <c r="J48" s="9" t="inlineStr">
        <is>
          <t>Completed and logged</t>
        </is>
      </c>
      <c r="K48" s="16" t="n"/>
      <c r="L48" s="16" t="n"/>
      <c r="M48" s="16" t="n"/>
      <c r="N48" s="16" t="n"/>
      <c r="O48" s="16" t="n"/>
      <c r="P48" s="16" t="n"/>
      <c r="Q48" s="16" t="n"/>
    </row>
    <row r="49" ht="15" customHeight="1">
      <c r="A49" s="8" t="n">
        <v>41</v>
      </c>
      <c r="B49" s="8" t="n">
        <v>200</v>
      </c>
      <c r="C49" s="8" t="n">
        <v>3.0303</v>
      </c>
      <c r="D49" s="8" t="n">
        <v>16.5</v>
      </c>
      <c r="E49" s="8" t="n">
        <v>14.85</v>
      </c>
      <c r="F49" s="8" t="n">
        <v>0.25</v>
      </c>
      <c r="G49" s="8" t="n">
        <v>0.05</v>
      </c>
      <c r="H49" s="8" t="n">
        <v>25000</v>
      </c>
      <c r="I49" s="8" t="inlineStr">
        <is>
          <t>Done</t>
        </is>
      </c>
      <c r="J49" s="9" t="inlineStr">
        <is>
          <t>Completed and logged</t>
        </is>
      </c>
      <c r="K49" s="16" t="n"/>
      <c r="L49" s="16" t="n"/>
      <c r="M49" s="16" t="n"/>
      <c r="N49" s="16" t="n"/>
      <c r="O49" s="16" t="n"/>
      <c r="P49" s="16" t="n"/>
      <c r="Q49" s="16" t="n"/>
    </row>
    <row r="50" ht="15" customHeight="1">
      <c r="A50" s="8" t="n">
        <v>42</v>
      </c>
      <c r="B50" s="8" t="n">
        <v>200</v>
      </c>
      <c r="C50" s="8" t="n">
        <v>3.0303</v>
      </c>
      <c r="D50" s="8" t="n">
        <v>16.5</v>
      </c>
      <c r="E50" s="8" t="n">
        <v>14.85</v>
      </c>
      <c r="F50" s="8" t="n">
        <v>0.25</v>
      </c>
      <c r="G50" s="8" t="n">
        <v>0.05</v>
      </c>
      <c r="H50" s="8" t="n">
        <v>30000</v>
      </c>
      <c r="I50" s="8" t="inlineStr">
        <is>
          <t>Done</t>
        </is>
      </c>
      <c r="J50" s="9" t="inlineStr">
        <is>
          <t>Completed and logged</t>
        </is>
      </c>
      <c r="K50" s="16" t="n"/>
      <c r="L50" s="16" t="n"/>
      <c r="M50" s="16" t="n"/>
      <c r="N50" s="16" t="n"/>
      <c r="O50" s="16" t="n"/>
      <c r="P50" s="16" t="n"/>
      <c r="Q50" s="16" t="n"/>
    </row>
    <row r="51" ht="18" customHeight="1">
      <c r="A51" s="51" t="inlineStr">
        <is>
          <t>Result: dpo/dti = 0.25 CONFIRMED — highest mean PEC across all 6/6 valid Re points (no exclusions, re-run complete). See Grand Output v2 sheet.</t>
        </is>
      </c>
      <c r="B51" s="13" t="n"/>
      <c r="C51" s="13" t="n"/>
      <c r="D51" s="13" t="n"/>
      <c r="E51" s="13" t="n"/>
      <c r="F51" s="13" t="n"/>
      <c r="G51" s="13" t="n"/>
      <c r="H51" s="13" t="n"/>
      <c r="I51" s="13" t="n"/>
      <c r="J51" s="14" t="n"/>
      <c r="K51" s="16" t="n"/>
      <c r="L51" s="16" t="n"/>
      <c r="M51" s="16" t="n"/>
      <c r="N51" s="16" t="n"/>
      <c r="O51" s="16" t="n"/>
      <c r="P51" s="16" t="n"/>
      <c r="Q51" s="16" t="n"/>
    </row>
    <row r="52">
      <c r="A52" s="3" t="inlineStr">
        <is>
          <t>Stage 3 — Wall Thickness Screening (Pt = 200 mm, dpo/dti = 0.25 — Stage 2 winner)</t>
        </is>
      </c>
      <c r="B52" s="13" t="n"/>
      <c r="C52" s="13" t="n"/>
      <c r="D52" s="13" t="n"/>
      <c r="E52" s="13" t="n"/>
      <c r="F52" s="13" t="n"/>
      <c r="G52" s="13" t="n"/>
      <c r="H52" s="13" t="n"/>
      <c r="I52" s="13" t="n"/>
      <c r="J52" s="14" t="n"/>
      <c r="K52" s="16" t="n"/>
      <c r="L52" s="16" t="n"/>
      <c r="M52" s="16" t="n"/>
      <c r="N52" s="16" t="n"/>
      <c r="O52" s="16" t="n"/>
      <c r="P52" s="16" t="n"/>
      <c r="Q52" s="16" t="n"/>
    </row>
    <row r="53" ht="30" customHeight="1">
      <c r="A53" s="7" t="inlineStr">
        <is>
          <t>Note — wall ratio = 0.05 is the SAME geometry already run in Stage 2 (dpo = 16.5 mm) — no new runs needed for that level; reuse those 6 rows above as this stage's Level-1 point.</t>
        </is>
      </c>
      <c r="B53" s="13" t="n"/>
      <c r="C53" s="13" t="n"/>
      <c r="D53" s="13" t="n"/>
      <c r="E53" s="13" t="n"/>
      <c r="F53" s="13" t="n"/>
      <c r="G53" s="13" t="n"/>
      <c r="H53" s="13" t="n"/>
      <c r="I53" s="13" t="n"/>
      <c r="J53" s="14" t="n"/>
      <c r="K53" s="16" t="n"/>
      <c r="L53" s="16" t="n"/>
      <c r="M53" s="16" t="n"/>
      <c r="N53" s="16" t="n"/>
      <c r="O53" s="16" t="n"/>
      <c r="P53" s="16" t="n"/>
      <c r="Q53" s="16" t="n"/>
    </row>
    <row r="54" ht="15" customHeight="1">
      <c r="A54" s="8" t="n">
        <v>43</v>
      </c>
      <c r="B54" s="8" t="n">
        <v>200</v>
      </c>
      <c r="C54" s="8" t="n">
        <v>3.0303</v>
      </c>
      <c r="D54" s="8" t="n">
        <v>16.5</v>
      </c>
      <c r="E54" s="8" t="n">
        <v>13.2</v>
      </c>
      <c r="F54" s="8" t="n">
        <v>0.25</v>
      </c>
      <c r="G54" s="8" t="n">
        <v>0.1</v>
      </c>
      <c r="H54" s="8" t="n">
        <v>5000</v>
      </c>
      <c r="I54" s="8" t="inlineStr">
        <is>
          <t>Done</t>
        </is>
      </c>
      <c r="J54" s="9" t="inlineStr">
        <is>
          <t>Completed and logged</t>
        </is>
      </c>
      <c r="K54" s="16" t="n"/>
      <c r="L54" s="16" t="n"/>
      <c r="M54" s="16" t="n"/>
      <c r="N54" s="16" t="n"/>
      <c r="O54" s="16" t="n"/>
      <c r="P54" s="16" t="n"/>
      <c r="Q54" s="16" t="n"/>
    </row>
    <row r="55" ht="15" customHeight="1">
      <c r="A55" s="8" t="n">
        <v>44</v>
      </c>
      <c r="B55" s="8" t="n">
        <v>200</v>
      </c>
      <c r="C55" s="8" t="n">
        <v>3.0303</v>
      </c>
      <c r="D55" s="8" t="n">
        <v>16.5</v>
      </c>
      <c r="E55" s="8" t="n">
        <v>13.2</v>
      </c>
      <c r="F55" s="8" t="n">
        <v>0.25</v>
      </c>
      <c r="G55" s="8" t="n">
        <v>0.1</v>
      </c>
      <c r="H55" s="8" t="n">
        <v>10000</v>
      </c>
      <c r="I55" s="8" t="inlineStr">
        <is>
          <t>Done</t>
        </is>
      </c>
      <c r="J55" s="9" t="inlineStr">
        <is>
          <t>Completed and logged</t>
        </is>
      </c>
      <c r="K55" s="16" t="n"/>
      <c r="L55" s="16" t="n"/>
      <c r="M55" s="16" t="n"/>
      <c r="N55" s="16" t="n"/>
      <c r="O55" s="16" t="n"/>
      <c r="P55" s="16" t="n"/>
      <c r="Q55" s="16" t="n"/>
    </row>
    <row r="56" ht="15" customHeight="1">
      <c r="A56" s="8" t="n">
        <v>45</v>
      </c>
      <c r="B56" s="8" t="n">
        <v>200</v>
      </c>
      <c r="C56" s="8" t="n">
        <v>3.0303</v>
      </c>
      <c r="D56" s="8" t="n">
        <v>16.5</v>
      </c>
      <c r="E56" s="8" t="n">
        <v>13.2</v>
      </c>
      <c r="F56" s="8" t="n">
        <v>0.25</v>
      </c>
      <c r="G56" s="8" t="n">
        <v>0.1</v>
      </c>
      <c r="H56" s="8" t="n">
        <v>15000</v>
      </c>
      <c r="I56" s="8" t="inlineStr">
        <is>
          <t>Done</t>
        </is>
      </c>
      <c r="J56" s="9" t="inlineStr">
        <is>
          <t>Completed and logged</t>
        </is>
      </c>
      <c r="K56" s="16" t="n"/>
      <c r="L56" s="16" t="n"/>
      <c r="M56" s="16" t="n"/>
      <c r="N56" s="16" t="n"/>
      <c r="O56" s="16" t="n"/>
      <c r="P56" s="16" t="n"/>
      <c r="Q56" s="16" t="n"/>
    </row>
    <row r="57" ht="15" customHeight="1">
      <c r="A57" s="8" t="n">
        <v>46</v>
      </c>
      <c r="B57" s="8" t="n">
        <v>200</v>
      </c>
      <c r="C57" s="8" t="n">
        <v>3.0303</v>
      </c>
      <c r="D57" s="8" t="n">
        <v>16.5</v>
      </c>
      <c r="E57" s="8" t="n">
        <v>13.2</v>
      </c>
      <c r="F57" s="8" t="n">
        <v>0.25</v>
      </c>
      <c r="G57" s="8" t="n">
        <v>0.1</v>
      </c>
      <c r="H57" s="8" t="n">
        <v>20000</v>
      </c>
      <c r="I57" s="8" t="inlineStr">
        <is>
          <t>Done</t>
        </is>
      </c>
      <c r="J57" s="9" t="inlineStr">
        <is>
          <t>Completed and logged</t>
        </is>
      </c>
      <c r="K57" s="16" t="n"/>
      <c r="L57" s="16" t="n"/>
      <c r="M57" s="16" t="n"/>
      <c r="N57" s="16" t="n"/>
      <c r="O57" s="16" t="n"/>
      <c r="P57" s="16" t="n"/>
      <c r="Q57" s="16" t="n"/>
    </row>
    <row r="58" ht="15" customHeight="1">
      <c r="A58" s="8" t="n">
        <v>47</v>
      </c>
      <c r="B58" s="8" t="n">
        <v>200</v>
      </c>
      <c r="C58" s="8" t="n">
        <v>3.0303</v>
      </c>
      <c r="D58" s="8" t="n">
        <v>16.5</v>
      </c>
      <c r="E58" s="8" t="n">
        <v>13.2</v>
      </c>
      <c r="F58" s="8" t="n">
        <v>0.25</v>
      </c>
      <c r="G58" s="8" t="n">
        <v>0.1</v>
      </c>
      <c r="H58" s="8" t="n">
        <v>25000</v>
      </c>
      <c r="I58" s="21" t="inlineStr">
        <is>
          <t>Done</t>
        </is>
      </c>
      <c r="J58" s="9" t="inlineStr">
        <is>
          <t>FIXED 2026-10-04 — transient (50 steps, dt=1e-4s) then switched to Steady; converged cleanly. See Grand Output sheet, case #23.</t>
        </is>
      </c>
      <c r="K58" s="16" t="n"/>
      <c r="L58" s="16" t="n"/>
      <c r="M58" s="16" t="n"/>
      <c r="N58" s="16" t="n"/>
      <c r="O58" s="16" t="n"/>
      <c r="P58" s="16" t="n"/>
      <c r="Q58" s="16" t="n"/>
    </row>
    <row r="59" ht="15" customHeight="1">
      <c r="A59" s="8" t="n">
        <v>48</v>
      </c>
      <c r="B59" s="8" t="n">
        <v>200</v>
      </c>
      <c r="C59" s="8" t="n">
        <v>3.0303</v>
      </c>
      <c r="D59" s="8" t="n">
        <v>16.5</v>
      </c>
      <c r="E59" s="8" t="n">
        <v>13.2</v>
      </c>
      <c r="F59" s="8" t="n">
        <v>0.25</v>
      </c>
      <c r="G59" s="8" t="n">
        <v>0.1</v>
      </c>
      <c r="H59" s="8" t="n">
        <v>30000</v>
      </c>
      <c r="I59" s="8" t="inlineStr">
        <is>
          <t>Done</t>
        </is>
      </c>
      <c r="J59" s="9" t="inlineStr">
        <is>
          <t>Completed and logged</t>
        </is>
      </c>
      <c r="K59" s="16" t="n"/>
      <c r="L59" s="16" t="n"/>
      <c r="M59" s="16" t="n"/>
      <c r="N59" s="16" t="n"/>
      <c r="O59" s="16" t="n"/>
      <c r="P59" s="16" t="n"/>
      <c r="Q59" s="16" t="n"/>
    </row>
    <row r="60" ht="15" customHeight="1">
      <c r="A60" s="8" t="n">
        <v>49</v>
      </c>
      <c r="B60" s="8" t="n">
        <v>200</v>
      </c>
      <c r="C60" s="8" t="n">
        <v>3.0303</v>
      </c>
      <c r="D60" s="8" t="n">
        <v>16.5</v>
      </c>
      <c r="E60" s="8" t="n">
        <v>11.55</v>
      </c>
      <c r="F60" s="8" t="n">
        <v>0.25</v>
      </c>
      <c r="G60" s="8" t="n">
        <v>0.15</v>
      </c>
      <c r="H60" s="8" t="n">
        <v>5000</v>
      </c>
      <c r="I60" s="8" t="inlineStr">
        <is>
          <t>Done</t>
        </is>
      </c>
      <c r="J60" s="9" t="inlineStr">
        <is>
          <t>Completed and logged</t>
        </is>
      </c>
      <c r="K60" s="16" t="n"/>
      <c r="L60" s="16" t="n"/>
      <c r="M60" s="16" t="n"/>
      <c r="N60" s="16" t="n"/>
      <c r="O60" s="16" t="n"/>
      <c r="P60" s="16" t="n"/>
      <c r="Q60" s="16" t="n"/>
    </row>
    <row r="61" ht="15" customHeight="1">
      <c r="A61" s="8" t="n">
        <v>50</v>
      </c>
      <c r="B61" s="8" t="n">
        <v>200</v>
      </c>
      <c r="C61" s="8" t="n">
        <v>3.0303</v>
      </c>
      <c r="D61" s="8" t="n">
        <v>16.5</v>
      </c>
      <c r="E61" s="8" t="n">
        <v>11.55</v>
      </c>
      <c r="F61" s="8" t="n">
        <v>0.25</v>
      </c>
      <c r="G61" s="8" t="n">
        <v>0.15</v>
      </c>
      <c r="H61" s="8" t="n">
        <v>10000</v>
      </c>
      <c r="I61" s="8" t="inlineStr">
        <is>
          <t>Done</t>
        </is>
      </c>
      <c r="J61" s="9" t="inlineStr">
        <is>
          <t>Completed and logged</t>
        </is>
      </c>
      <c r="K61" s="16" t="n"/>
      <c r="L61" s="16" t="n"/>
      <c r="M61" s="16" t="n"/>
      <c r="N61" s="16" t="n"/>
      <c r="O61" s="16" t="n"/>
      <c r="P61" s="16" t="n"/>
      <c r="Q61" s="16" t="n"/>
    </row>
    <row r="62" ht="15" customHeight="1">
      <c r="A62" s="8" t="n">
        <v>51</v>
      </c>
      <c r="B62" s="8" t="n">
        <v>200</v>
      </c>
      <c r="C62" s="8" t="n">
        <v>3.0303</v>
      </c>
      <c r="D62" s="8" t="n">
        <v>16.5</v>
      </c>
      <c r="E62" s="8" t="n">
        <v>11.55</v>
      </c>
      <c r="F62" s="8" t="n">
        <v>0.25</v>
      </c>
      <c r="G62" s="8" t="n">
        <v>0.15</v>
      </c>
      <c r="H62" s="8" t="n">
        <v>15000</v>
      </c>
      <c r="I62" s="8" t="inlineStr">
        <is>
          <t>Done</t>
        </is>
      </c>
      <c r="J62" s="9" t="inlineStr">
        <is>
          <t>Completed and logged</t>
        </is>
      </c>
      <c r="K62" s="16" t="n"/>
      <c r="L62" s="16" t="n"/>
      <c r="M62" s="16" t="n"/>
      <c r="N62" s="16" t="n"/>
      <c r="O62" s="16" t="n"/>
      <c r="P62" s="16" t="n"/>
      <c r="Q62" s="16" t="n"/>
    </row>
    <row r="63" ht="15" customHeight="1">
      <c r="A63" s="8" t="n">
        <v>52</v>
      </c>
      <c r="B63" s="8" t="n">
        <v>200</v>
      </c>
      <c r="C63" s="8" t="n">
        <v>3.0303</v>
      </c>
      <c r="D63" s="8" t="n">
        <v>16.5</v>
      </c>
      <c r="E63" s="8" t="n">
        <v>11.55</v>
      </c>
      <c r="F63" s="8" t="n">
        <v>0.25</v>
      </c>
      <c r="G63" s="8" t="n">
        <v>0.15</v>
      </c>
      <c r="H63" s="8" t="n">
        <v>20000</v>
      </c>
      <c r="I63" s="21" t="inlineStr">
        <is>
          <t>Done</t>
        </is>
      </c>
      <c r="J63" s="9" t="inlineStr">
        <is>
          <t>FIXED 2026-10-04 — same transient-then-Steady fix; converged cleanly. See Grand Output sheet, case #28.</t>
        </is>
      </c>
      <c r="K63" s="16" t="n"/>
      <c r="L63" s="16" t="n"/>
      <c r="M63" s="16" t="n"/>
      <c r="N63" s="16" t="n"/>
      <c r="O63" s="16" t="n"/>
      <c r="P63" s="16" t="n"/>
      <c r="Q63" s="16" t="n"/>
    </row>
    <row r="64" ht="15" customHeight="1">
      <c r="A64" s="8" t="n">
        <v>53</v>
      </c>
      <c r="B64" s="8" t="n">
        <v>200</v>
      </c>
      <c r="C64" s="8" t="n">
        <v>3.0303</v>
      </c>
      <c r="D64" s="8" t="n">
        <v>16.5</v>
      </c>
      <c r="E64" s="8" t="n">
        <v>11.55</v>
      </c>
      <c r="F64" s="8" t="n">
        <v>0.25</v>
      </c>
      <c r="G64" s="8" t="n">
        <v>0.15</v>
      </c>
      <c r="H64" s="8" t="n">
        <v>25000</v>
      </c>
      <c r="I64" s="8" t="inlineStr">
        <is>
          <t>Done</t>
        </is>
      </c>
      <c r="J64" s="9" t="inlineStr">
        <is>
          <t>Completed and logged</t>
        </is>
      </c>
      <c r="K64" s="16" t="n"/>
      <c r="L64" s="16" t="n"/>
      <c r="M64" s="16" t="n"/>
      <c r="N64" s="16" t="n"/>
      <c r="O64" s="16" t="n"/>
      <c r="P64" s="16" t="n"/>
      <c r="Q64" s="16" t="n"/>
    </row>
    <row r="65" ht="15" customHeight="1">
      <c r="A65" s="35" t="n">
        <v>54</v>
      </c>
      <c r="B65" s="35" t="n">
        <v>200</v>
      </c>
      <c r="C65" s="35" t="n">
        <v>3.0303</v>
      </c>
      <c r="D65" s="35" t="n">
        <v>16.5</v>
      </c>
      <c r="E65" s="35" t="n">
        <v>11.55</v>
      </c>
      <c r="F65" s="35" t="n">
        <v>0.25</v>
      </c>
      <c r="G65" s="35" t="n">
        <v>0.15</v>
      </c>
      <c r="H65" s="35" t="n">
        <v>30000</v>
      </c>
      <c r="I65" s="52" t="inlineStr">
        <is>
          <t>Done</t>
        </is>
      </c>
      <c r="J65" s="55" t="inlineStr">
        <is>
          <t>FIXED 2026-10-07 — transient-then-Steady re-run converged cleanly. See Grand Output v2 sheet, case #30.</t>
        </is>
      </c>
      <c r="K65" s="16" t="n"/>
      <c r="L65" s="16" t="n"/>
      <c r="M65" s="16" t="n"/>
      <c r="N65" s="16" t="n"/>
      <c r="O65" s="16" t="n"/>
      <c r="P65" s="16" t="n"/>
      <c r="Q65" s="16" t="n"/>
    </row>
    <row r="67" ht="18" customHeight="1">
      <c r="A67" s="27" t="inlineStr">
        <is>
          <t>Stage 4 — Hybrid Nanofluid Type Screening (Pt=200mm CONFIRMED; dpo/dti=0.25 CONFIRMED; tp/dpo=0.10 CONFIRMED — all Stage 1-3 geometry now locked in)</t>
        </is>
      </c>
      <c r="B67" s="13" t="n"/>
      <c r="C67" s="13" t="n"/>
      <c r="D67" s="13" t="n"/>
      <c r="E67" s="13" t="n"/>
      <c r="F67" s="13" t="n"/>
      <c r="G67" s="13" t="n"/>
      <c r="H67" s="13" t="n"/>
      <c r="I67" s="13" t="n"/>
      <c r="J67" s="13" t="n"/>
      <c r="K67" s="13" t="n"/>
      <c r="L67" s="13" t="n"/>
      <c r="M67" s="13" t="n"/>
      <c r="N67" s="13" t="n"/>
      <c r="O67" s="13" t="n"/>
      <c r="P67" s="13" t="n"/>
      <c r="Q67" s="14" t="n"/>
    </row>
    <row r="68" ht="45" customHeight="1">
      <c r="A68" s="7" t="inlineStr">
        <is>
          <t>phi=2.0% fixed for all three nanofluids at this stage (matches the reference/mirror thesis’s own screening condition) — winner nanofluid moves to its own concentration sweep (0.5%/1.0%/2.0%) afterward. Properties via mirror-thesis model: density/Cp mixing (Eq 3.37/3.38) + Maxwell conductivity with Chamkha-weighted k_hnp + Brinkman viscosity.</t>
        </is>
      </c>
      <c r="B68" s="13" t="n"/>
      <c r="C68" s="13" t="n"/>
      <c r="D68" s="13" t="n"/>
      <c r="E68" s="13" t="n"/>
      <c r="F68" s="13" t="n"/>
      <c r="G68" s="13" t="n"/>
      <c r="H68" s="13" t="n"/>
      <c r="I68" s="13" t="n"/>
      <c r="J68" s="13" t="n"/>
      <c r="K68" s="13" t="n"/>
      <c r="L68" s="13" t="n"/>
      <c r="M68" s="13" t="n"/>
      <c r="N68" s="13" t="n"/>
      <c r="O68" s="13" t="n"/>
      <c r="P68" s="13" t="n"/>
      <c r="Q68" s="14" t="n"/>
    </row>
    <row r="69" ht="15" customHeight="1">
      <c r="A69" s="21" t="n">
        <v>55</v>
      </c>
      <c r="B69" s="21" t="n">
        <v>200</v>
      </c>
      <c r="C69" s="21" t="n">
        <v>3.0303</v>
      </c>
      <c r="D69" s="21" t="n">
        <v>16.5</v>
      </c>
      <c r="E69" s="21" t="inlineStr">
        <is>
          <t>TBD</t>
        </is>
      </c>
      <c r="F69" s="52" t="inlineStr">
        <is>
          <t>0.25</t>
        </is>
      </c>
      <c r="G69" s="52" t="inlineStr">
        <is>
          <t>0.10</t>
        </is>
      </c>
      <c r="H69" s="21" t="n">
        <v>5000</v>
      </c>
      <c r="I69" s="21" t="inlineStr">
        <is>
          <t>Ready</t>
        </is>
      </c>
      <c r="J69" s="9" t="inlineStr">
        <is>
          <t>Properties fully sourced — Mohammed et al. (2022) Table 6 + Chamkha k_hnp</t>
        </is>
      </c>
      <c r="K69" s="21" t="inlineStr">
        <is>
          <t>Fe2O3-GO</t>
        </is>
      </c>
      <c r="L69" s="21" t="n">
        <v>2</v>
      </c>
      <c r="M69" s="21" t="inlineStr">
        <is>
          <t>50:50</t>
        </is>
      </c>
      <c r="N69" s="21" t="n">
        <v>802.0599999999999</v>
      </c>
      <c r="O69" s="21" t="n">
        <v>1850.62</v>
      </c>
      <c r="P69" s="21" t="n">
        <v>0.10198</v>
      </c>
      <c r="Q69" s="21" t="n">
        <v>0.0008835</v>
      </c>
    </row>
    <row r="70" ht="15" customHeight="1">
      <c r="A70" s="21" t="n">
        <v>56</v>
      </c>
      <c r="B70" s="21" t="n">
        <v>200</v>
      </c>
      <c r="C70" s="21" t="n">
        <v>3.0303</v>
      </c>
      <c r="D70" s="21" t="n">
        <v>16.5</v>
      </c>
      <c r="E70" s="21" t="inlineStr">
        <is>
          <t>TBD</t>
        </is>
      </c>
      <c r="F70" s="52" t="inlineStr">
        <is>
          <t>0.25</t>
        </is>
      </c>
      <c r="G70" s="52" t="inlineStr">
        <is>
          <t>0.10</t>
        </is>
      </c>
      <c r="H70" s="21" t="n">
        <v>10000</v>
      </c>
      <c r="I70" s="21" t="inlineStr">
        <is>
          <t>Ready</t>
        </is>
      </c>
      <c r="J70" s="9" t="inlineStr">
        <is>
          <t>Properties fully sourced — Mohammed et al. (2022) Table 6 + Chamkha k_hnp</t>
        </is>
      </c>
      <c r="K70" s="21" t="inlineStr">
        <is>
          <t>Fe2O3-GO</t>
        </is>
      </c>
      <c r="L70" s="21" t="n">
        <v>2</v>
      </c>
      <c r="M70" s="21" t="inlineStr">
        <is>
          <t>50:50</t>
        </is>
      </c>
      <c r="N70" s="21" t="n">
        <v>802.0599999999999</v>
      </c>
      <c r="O70" s="21" t="n">
        <v>1850.62</v>
      </c>
      <c r="P70" s="21" t="n">
        <v>0.10198</v>
      </c>
      <c r="Q70" s="21" t="n">
        <v>0.0008835</v>
      </c>
    </row>
    <row r="71" ht="15" customHeight="1">
      <c r="A71" s="21" t="n">
        <v>57</v>
      </c>
      <c r="B71" s="21" t="n">
        <v>200</v>
      </c>
      <c r="C71" s="21" t="n">
        <v>3.0303</v>
      </c>
      <c r="D71" s="21" t="n">
        <v>16.5</v>
      </c>
      <c r="E71" s="21" t="inlineStr">
        <is>
          <t>TBD</t>
        </is>
      </c>
      <c r="F71" s="52" t="inlineStr">
        <is>
          <t>0.25</t>
        </is>
      </c>
      <c r="G71" s="52" t="inlineStr">
        <is>
          <t>0.10</t>
        </is>
      </c>
      <c r="H71" s="21" t="n">
        <v>15000</v>
      </c>
      <c r="I71" s="21" t="inlineStr">
        <is>
          <t>Ready</t>
        </is>
      </c>
      <c r="J71" s="9" t="inlineStr">
        <is>
          <t>Properties fully sourced — Mohammed et al. (2022) Table 6 + Chamkha k_hnp</t>
        </is>
      </c>
      <c r="K71" s="21" t="inlineStr">
        <is>
          <t>Fe2O3-GO</t>
        </is>
      </c>
      <c r="L71" s="21" t="n">
        <v>2</v>
      </c>
      <c r="M71" s="21" t="inlineStr">
        <is>
          <t>50:50</t>
        </is>
      </c>
      <c r="N71" s="21" t="n">
        <v>802.0599999999999</v>
      </c>
      <c r="O71" s="21" t="n">
        <v>1850.62</v>
      </c>
      <c r="P71" s="21" t="n">
        <v>0.10198</v>
      </c>
      <c r="Q71" s="21" t="n">
        <v>0.0008835</v>
      </c>
    </row>
    <row r="72" ht="15" customHeight="1">
      <c r="A72" s="21" t="n">
        <v>58</v>
      </c>
      <c r="B72" s="21" t="n">
        <v>200</v>
      </c>
      <c r="C72" s="21" t="n">
        <v>3.0303</v>
      </c>
      <c r="D72" s="21" t="n">
        <v>16.5</v>
      </c>
      <c r="E72" s="21" t="inlineStr">
        <is>
          <t>TBD</t>
        </is>
      </c>
      <c r="F72" s="52" t="inlineStr">
        <is>
          <t>0.25</t>
        </is>
      </c>
      <c r="G72" s="52" t="inlineStr">
        <is>
          <t>0.10</t>
        </is>
      </c>
      <c r="H72" s="21" t="n">
        <v>20000</v>
      </c>
      <c r="I72" s="21" t="inlineStr">
        <is>
          <t>Ready</t>
        </is>
      </c>
      <c r="J72" s="9" t="inlineStr">
        <is>
          <t>Properties fully sourced — Mohammed et al. (2022) Table 6 + Chamkha k_hnp</t>
        </is>
      </c>
      <c r="K72" s="21" t="inlineStr">
        <is>
          <t>Fe2O3-GO</t>
        </is>
      </c>
      <c r="L72" s="21" t="n">
        <v>2</v>
      </c>
      <c r="M72" s="21" t="inlineStr">
        <is>
          <t>50:50</t>
        </is>
      </c>
      <c r="N72" s="21" t="n">
        <v>802.0599999999999</v>
      </c>
      <c r="O72" s="21" t="n">
        <v>1850.62</v>
      </c>
      <c r="P72" s="21" t="n">
        <v>0.10198</v>
      </c>
      <c r="Q72" s="21" t="n">
        <v>0.0008835</v>
      </c>
    </row>
    <row r="73" ht="15" customHeight="1">
      <c r="A73" s="21" t="n">
        <v>59</v>
      </c>
      <c r="B73" s="21" t="n">
        <v>200</v>
      </c>
      <c r="C73" s="21" t="n">
        <v>3.0303</v>
      </c>
      <c r="D73" s="21" t="n">
        <v>16.5</v>
      </c>
      <c r="E73" s="21" t="inlineStr">
        <is>
          <t>TBD</t>
        </is>
      </c>
      <c r="F73" s="52" t="inlineStr">
        <is>
          <t>0.25</t>
        </is>
      </c>
      <c r="G73" s="52" t="inlineStr">
        <is>
          <t>0.10</t>
        </is>
      </c>
      <c r="H73" s="21" t="n">
        <v>25000</v>
      </c>
      <c r="I73" s="21" t="inlineStr">
        <is>
          <t>Ready</t>
        </is>
      </c>
      <c r="J73" s="9" t="inlineStr">
        <is>
          <t>Properties fully sourced — Mohammed et al. (2022) Table 6 + Chamkha k_hnp</t>
        </is>
      </c>
      <c r="K73" s="21" t="inlineStr">
        <is>
          <t>Fe2O3-GO</t>
        </is>
      </c>
      <c r="L73" s="21" t="n">
        <v>2</v>
      </c>
      <c r="M73" s="21" t="inlineStr">
        <is>
          <t>50:50</t>
        </is>
      </c>
      <c r="N73" s="21" t="n">
        <v>802.0599999999999</v>
      </c>
      <c r="O73" s="21" t="n">
        <v>1850.62</v>
      </c>
      <c r="P73" s="21" t="n">
        <v>0.10198</v>
      </c>
      <c r="Q73" s="21" t="n">
        <v>0.0008835</v>
      </c>
    </row>
    <row r="74" ht="15" customHeight="1">
      <c r="A74" s="21" t="n">
        <v>60</v>
      </c>
      <c r="B74" s="21" t="n">
        <v>200</v>
      </c>
      <c r="C74" s="21" t="n">
        <v>3.0303</v>
      </c>
      <c r="D74" s="21" t="n">
        <v>16.5</v>
      </c>
      <c r="E74" s="21" t="inlineStr">
        <is>
          <t>TBD</t>
        </is>
      </c>
      <c r="F74" s="52" t="inlineStr">
        <is>
          <t>0.25</t>
        </is>
      </c>
      <c r="G74" s="52" t="inlineStr">
        <is>
          <t>0.10</t>
        </is>
      </c>
      <c r="H74" s="21" t="n">
        <v>30000</v>
      </c>
      <c r="I74" s="21" t="inlineStr">
        <is>
          <t>Ready</t>
        </is>
      </c>
      <c r="J74" s="9" t="inlineStr">
        <is>
          <t>Properties fully sourced — Mohammed et al. (2022) Table 6 + Chamkha k_hnp</t>
        </is>
      </c>
      <c r="K74" s="21" t="inlineStr">
        <is>
          <t>Fe2O3-GO</t>
        </is>
      </c>
      <c r="L74" s="21" t="n">
        <v>2</v>
      </c>
      <c r="M74" s="21" t="inlineStr">
        <is>
          <t>50:50</t>
        </is>
      </c>
      <c r="N74" s="21" t="n">
        <v>802.0599999999999</v>
      </c>
      <c r="O74" s="21" t="n">
        <v>1850.62</v>
      </c>
      <c r="P74" s="21" t="n">
        <v>0.10198</v>
      </c>
      <c r="Q74" s="21" t="n">
        <v>0.0008835</v>
      </c>
    </row>
    <row r="75" ht="15" customHeight="1">
      <c r="A75" s="24" t="n">
        <v>61</v>
      </c>
      <c r="B75" s="24" t="n">
        <v>200</v>
      </c>
      <c r="C75" s="24" t="n">
        <v>3.0303</v>
      </c>
      <c r="D75" s="24" t="n">
        <v>16.5</v>
      </c>
      <c r="E75" s="24" t="inlineStr">
        <is>
          <t>TBD</t>
        </is>
      </c>
      <c r="F75" s="53" t="inlineStr">
        <is>
          <t>0.25</t>
        </is>
      </c>
      <c r="G75" s="53" t="inlineStr">
        <is>
          <t>0.10</t>
        </is>
      </c>
      <c r="H75" s="24" t="n">
        <v>5000</v>
      </c>
      <c r="I75" s="21" t="inlineStr">
        <is>
          <t>Ready</t>
        </is>
      </c>
      <c r="J75" s="9" t="inlineStr">
        <is>
          <t>Properties fully sourced 2026-10-07 — Al2O3: rho/Cp universal literature std, k=40 nanofluid-CFD convention. MWCNT: rho/Cp cross-checked (2+ sources), k=3000 is individual-tube/field-convention value (bulk bundle k~200 W/mK also documented — flagged, not an error).</t>
        </is>
      </c>
      <c r="K75" s="24" t="inlineStr">
        <is>
          <t>Al2O3-MWCNT</t>
        </is>
      </c>
      <c r="L75" s="24" t="n">
        <v>2</v>
      </c>
      <c r="M75" s="24" t="inlineStr">
        <is>
          <t>50:50 (assumed)</t>
        </is>
      </c>
      <c r="N75" s="21" t="n">
        <v>792.96</v>
      </c>
      <c r="O75" s="21" t="n">
        <v>1871.19</v>
      </c>
      <c r="P75" s="21" t="n">
        <v>0.10198</v>
      </c>
      <c r="Q75" s="21" t="n">
        <v>0.0008835</v>
      </c>
    </row>
    <row r="76" ht="15" customHeight="1">
      <c r="A76" s="24" t="n">
        <v>62</v>
      </c>
      <c r="B76" s="24" t="n">
        <v>200</v>
      </c>
      <c r="C76" s="24" t="n">
        <v>3.0303</v>
      </c>
      <c r="D76" s="24" t="n">
        <v>16.5</v>
      </c>
      <c r="E76" s="24" t="inlineStr">
        <is>
          <t>TBD</t>
        </is>
      </c>
      <c r="F76" s="53" t="inlineStr">
        <is>
          <t>0.25</t>
        </is>
      </c>
      <c r="G76" s="53" t="inlineStr">
        <is>
          <t>0.10</t>
        </is>
      </c>
      <c r="H76" s="24" t="n">
        <v>10000</v>
      </c>
      <c r="I76" s="21" t="inlineStr">
        <is>
          <t>Ready</t>
        </is>
      </c>
      <c r="J76" s="9" t="inlineStr">
        <is>
          <t>Properties fully sourced 2026-10-07 — Al2O3: rho/Cp universal literature std, k=40 nanofluid-CFD convention. MWCNT: rho/Cp cross-checked (2+ sources), k=3000 is individual-tube/field-convention value (bulk bundle k~200 W/mK also documented — flagged, not an error).</t>
        </is>
      </c>
      <c r="K76" s="24" t="inlineStr">
        <is>
          <t>Al2O3-MWCNT</t>
        </is>
      </c>
      <c r="L76" s="24" t="n">
        <v>2</v>
      </c>
      <c r="M76" s="24" t="inlineStr">
        <is>
          <t>50:50 (assumed)</t>
        </is>
      </c>
      <c r="N76" s="21" t="n">
        <v>792.96</v>
      </c>
      <c r="O76" s="21" t="n">
        <v>1871.19</v>
      </c>
      <c r="P76" s="21" t="n">
        <v>0.10198</v>
      </c>
      <c r="Q76" s="21" t="n">
        <v>0.0008835</v>
      </c>
    </row>
    <row r="77" ht="15" customHeight="1">
      <c r="A77" s="24" t="n">
        <v>63</v>
      </c>
      <c r="B77" s="24" t="n">
        <v>200</v>
      </c>
      <c r="C77" s="24" t="n">
        <v>3.0303</v>
      </c>
      <c r="D77" s="24" t="n">
        <v>16.5</v>
      </c>
      <c r="E77" s="24" t="inlineStr">
        <is>
          <t>TBD</t>
        </is>
      </c>
      <c r="F77" s="53" t="inlineStr">
        <is>
          <t>0.25</t>
        </is>
      </c>
      <c r="G77" s="53" t="inlineStr">
        <is>
          <t>0.10</t>
        </is>
      </c>
      <c r="H77" s="24" t="n">
        <v>15000</v>
      </c>
      <c r="I77" s="21" t="inlineStr">
        <is>
          <t>Ready</t>
        </is>
      </c>
      <c r="J77" s="9" t="inlineStr">
        <is>
          <t>Properties fully sourced 2026-10-07 — Al2O3: rho/Cp universal literature std, k=40 nanofluid-CFD convention. MWCNT: rho/Cp cross-checked (2+ sources), k=3000 is individual-tube/field-convention value (bulk bundle k~200 W/mK also documented — flagged, not an error).</t>
        </is>
      </c>
      <c r="K77" s="24" t="inlineStr">
        <is>
          <t>Al2O3-MWCNT</t>
        </is>
      </c>
      <c r="L77" s="24" t="n">
        <v>2</v>
      </c>
      <c r="M77" s="24" t="inlineStr">
        <is>
          <t>50:50 (assumed)</t>
        </is>
      </c>
      <c r="N77" s="21" t="n">
        <v>792.96</v>
      </c>
      <c r="O77" s="21" t="n">
        <v>1871.19</v>
      </c>
      <c r="P77" s="21" t="n">
        <v>0.10198</v>
      </c>
      <c r="Q77" s="21" t="n">
        <v>0.0008835</v>
      </c>
    </row>
    <row r="78" ht="15" customHeight="1">
      <c r="A78" s="24" t="n">
        <v>64</v>
      </c>
      <c r="B78" s="24" t="n">
        <v>200</v>
      </c>
      <c r="C78" s="24" t="n">
        <v>3.0303</v>
      </c>
      <c r="D78" s="24" t="n">
        <v>16.5</v>
      </c>
      <c r="E78" s="24" t="inlineStr">
        <is>
          <t>TBD</t>
        </is>
      </c>
      <c r="F78" s="53" t="inlineStr">
        <is>
          <t>0.25</t>
        </is>
      </c>
      <c r="G78" s="53" t="inlineStr">
        <is>
          <t>0.10</t>
        </is>
      </c>
      <c r="H78" s="24" t="n">
        <v>20000</v>
      </c>
      <c r="I78" s="21" t="inlineStr">
        <is>
          <t>Ready</t>
        </is>
      </c>
      <c r="J78" s="9" t="inlineStr">
        <is>
          <t>Properties fully sourced 2026-10-07 — Al2O3: rho/Cp universal literature std, k=40 nanofluid-CFD convention. MWCNT: rho/Cp cross-checked (2+ sources), k=3000 is individual-tube/field-convention value (bulk bundle k~200 W/mK also documented — flagged, not an error).</t>
        </is>
      </c>
      <c r="K78" s="24" t="inlineStr">
        <is>
          <t>Al2O3-MWCNT</t>
        </is>
      </c>
      <c r="L78" s="24" t="n">
        <v>2</v>
      </c>
      <c r="M78" s="24" t="inlineStr">
        <is>
          <t>50:50 (assumed)</t>
        </is>
      </c>
      <c r="N78" s="21" t="n">
        <v>792.96</v>
      </c>
      <c r="O78" s="21" t="n">
        <v>1871.19</v>
      </c>
      <c r="P78" s="21" t="n">
        <v>0.10198</v>
      </c>
      <c r="Q78" s="21" t="n">
        <v>0.0008835</v>
      </c>
    </row>
    <row r="79" ht="15" customHeight="1">
      <c r="A79" s="24" t="n">
        <v>65</v>
      </c>
      <c r="B79" s="24" t="n">
        <v>200</v>
      </c>
      <c r="C79" s="24" t="n">
        <v>3.0303</v>
      </c>
      <c r="D79" s="24" t="n">
        <v>16.5</v>
      </c>
      <c r="E79" s="24" t="inlineStr">
        <is>
          <t>TBD</t>
        </is>
      </c>
      <c r="F79" s="53" t="inlineStr">
        <is>
          <t>0.25</t>
        </is>
      </c>
      <c r="G79" s="53" t="inlineStr">
        <is>
          <t>0.10</t>
        </is>
      </c>
      <c r="H79" s="24" t="n">
        <v>25000</v>
      </c>
      <c r="I79" s="21" t="inlineStr">
        <is>
          <t>Ready</t>
        </is>
      </c>
      <c r="J79" s="9" t="inlineStr">
        <is>
          <t>Properties fully sourced 2026-10-07 — Al2O3: rho/Cp universal literature std, k=40 nanofluid-CFD convention. MWCNT: rho/Cp cross-checked (2+ sources), k=3000 is individual-tube/field-convention value (bulk bundle k~200 W/mK also documented — flagged, not an error).</t>
        </is>
      </c>
      <c r="K79" s="24" t="inlineStr">
        <is>
          <t>Al2O3-MWCNT</t>
        </is>
      </c>
      <c r="L79" s="24" t="n">
        <v>2</v>
      </c>
      <c r="M79" s="24" t="inlineStr">
        <is>
          <t>50:50 (assumed)</t>
        </is>
      </c>
      <c r="N79" s="21" t="n">
        <v>792.96</v>
      </c>
      <c r="O79" s="21" t="n">
        <v>1871.19</v>
      </c>
      <c r="P79" s="21" t="n">
        <v>0.10198</v>
      </c>
      <c r="Q79" s="21" t="n">
        <v>0.0008835</v>
      </c>
    </row>
    <row r="80" ht="15" customHeight="1">
      <c r="A80" s="24" t="n">
        <v>66</v>
      </c>
      <c r="B80" s="24" t="n">
        <v>200</v>
      </c>
      <c r="C80" s="24" t="n">
        <v>3.0303</v>
      </c>
      <c r="D80" s="24" t="n">
        <v>16.5</v>
      </c>
      <c r="E80" s="24" t="inlineStr">
        <is>
          <t>TBD</t>
        </is>
      </c>
      <c r="F80" s="53" t="inlineStr">
        <is>
          <t>0.25</t>
        </is>
      </c>
      <c r="G80" s="53" t="inlineStr">
        <is>
          <t>0.10</t>
        </is>
      </c>
      <c r="H80" s="24" t="n">
        <v>30000</v>
      </c>
      <c r="I80" s="21" t="inlineStr">
        <is>
          <t>Ready</t>
        </is>
      </c>
      <c r="J80" s="9" t="inlineStr">
        <is>
          <t>Properties fully sourced 2026-10-07 — Al2O3: rho/Cp universal literature std, k=40 nanofluid-CFD convention. MWCNT: rho/Cp cross-checked (2+ sources), k=3000 is individual-tube/field-convention value (bulk bundle k~200 W/mK also documented — flagged, not an error).</t>
        </is>
      </c>
      <c r="K80" s="24" t="inlineStr">
        <is>
          <t>Al2O3-MWCNT</t>
        </is>
      </c>
      <c r="L80" s="24" t="n">
        <v>2</v>
      </c>
      <c r="M80" s="24" t="inlineStr">
        <is>
          <t>50:50 (assumed)</t>
        </is>
      </c>
      <c r="N80" s="21" t="n">
        <v>792.96</v>
      </c>
      <c r="O80" s="21" t="n">
        <v>1871.19</v>
      </c>
      <c r="P80" s="21" t="n">
        <v>0.10198</v>
      </c>
      <c r="Q80" s="21" t="n">
        <v>0.0008835</v>
      </c>
    </row>
    <row r="81" ht="15" customHeight="1">
      <c r="A81" s="24" t="n">
        <v>67</v>
      </c>
      <c r="B81" s="24" t="n">
        <v>200</v>
      </c>
      <c r="C81" s="24" t="n">
        <v>3.0303</v>
      </c>
      <c r="D81" s="24" t="n">
        <v>16.5</v>
      </c>
      <c r="E81" s="24" t="inlineStr">
        <is>
          <t>TBD</t>
        </is>
      </c>
      <c r="F81" s="53" t="inlineStr">
        <is>
          <t>0.25</t>
        </is>
      </c>
      <c r="G81" s="53" t="inlineStr">
        <is>
          <t>0.10</t>
        </is>
      </c>
      <c r="H81" s="24" t="n">
        <v>5000</v>
      </c>
      <c r="I81" s="21" t="inlineStr">
        <is>
          <t>Ready</t>
        </is>
      </c>
      <c r="J81" s="9" t="inlineStr">
        <is>
          <t>Properties fully sourced 2026-10-07 — Ag: fully standard, no disagreement. MgO: rho settled (3580); Cp/k taken from Ag-MgO-specific literature (955/45) — an alternate published set (879/30) also exists, flagged in Parameter Legend.</t>
        </is>
      </c>
      <c r="K81" s="24" t="inlineStr">
        <is>
          <t>Ag-MgO</t>
        </is>
      </c>
      <c r="L81" s="24" t="n">
        <v>2</v>
      </c>
      <c r="M81" s="24" t="inlineStr">
        <is>
          <t>50:50 (assumed)</t>
        </is>
      </c>
      <c r="N81" s="21" t="n">
        <v>873.0599999999999</v>
      </c>
      <c r="O81" s="21" t="n">
        <v>1713.01</v>
      </c>
      <c r="P81" s="21" t="n">
        <v>0.10198</v>
      </c>
      <c r="Q81" s="21" t="n">
        <v>0.0008835</v>
      </c>
    </row>
    <row r="82" ht="15" customHeight="1">
      <c r="A82" s="24" t="n">
        <v>68</v>
      </c>
      <c r="B82" s="24" t="n">
        <v>200</v>
      </c>
      <c r="C82" s="24" t="n">
        <v>3.0303</v>
      </c>
      <c r="D82" s="24" t="n">
        <v>16.5</v>
      </c>
      <c r="E82" s="24" t="inlineStr">
        <is>
          <t>TBD</t>
        </is>
      </c>
      <c r="F82" s="53" t="inlineStr">
        <is>
          <t>0.25</t>
        </is>
      </c>
      <c r="G82" s="53" t="inlineStr">
        <is>
          <t>0.10</t>
        </is>
      </c>
      <c r="H82" s="24" t="n">
        <v>10000</v>
      </c>
      <c r="I82" s="21" t="inlineStr">
        <is>
          <t>Ready</t>
        </is>
      </c>
      <c r="J82" s="9" t="inlineStr">
        <is>
          <t>Properties fully sourced 2026-10-07 — Ag: fully standard, no disagreement. MgO: rho settled (3580); Cp/k taken from Ag-MgO-specific literature (955/45) — an alternate published set (879/30) also exists, flagged in Parameter Legend.</t>
        </is>
      </c>
      <c r="K82" s="24" t="inlineStr">
        <is>
          <t>Ag-MgO</t>
        </is>
      </c>
      <c r="L82" s="24" t="n">
        <v>2</v>
      </c>
      <c r="M82" s="24" t="inlineStr">
        <is>
          <t>50:50 (assumed)</t>
        </is>
      </c>
      <c r="N82" s="21" t="n">
        <v>873.0599999999999</v>
      </c>
      <c r="O82" s="21" t="n">
        <v>1713.01</v>
      </c>
      <c r="P82" s="21" t="n">
        <v>0.10198</v>
      </c>
      <c r="Q82" s="21" t="n">
        <v>0.0008835</v>
      </c>
    </row>
    <row r="83" ht="15" customHeight="1">
      <c r="A83" s="24" t="n">
        <v>69</v>
      </c>
      <c r="B83" s="24" t="n">
        <v>200</v>
      </c>
      <c r="C83" s="24" t="n">
        <v>3.0303</v>
      </c>
      <c r="D83" s="24" t="n">
        <v>16.5</v>
      </c>
      <c r="E83" s="24" t="inlineStr">
        <is>
          <t>TBD</t>
        </is>
      </c>
      <c r="F83" s="53" t="inlineStr">
        <is>
          <t>0.25</t>
        </is>
      </c>
      <c r="G83" s="53" t="inlineStr">
        <is>
          <t>0.10</t>
        </is>
      </c>
      <c r="H83" s="24" t="n">
        <v>15000</v>
      </c>
      <c r="I83" s="21" t="inlineStr">
        <is>
          <t>Ready</t>
        </is>
      </c>
      <c r="J83" s="9" t="inlineStr">
        <is>
          <t>Properties fully sourced 2026-10-07 — Ag: fully standard, no disagreement. MgO: rho settled (3580); Cp/k taken from Ag-MgO-specific literature (955/45) — an alternate published set (879/30) also exists, flagged in Parameter Legend.</t>
        </is>
      </c>
      <c r="K83" s="24" t="inlineStr">
        <is>
          <t>Ag-MgO</t>
        </is>
      </c>
      <c r="L83" s="24" t="n">
        <v>2</v>
      </c>
      <c r="M83" s="24" t="inlineStr">
        <is>
          <t>50:50 (assumed)</t>
        </is>
      </c>
      <c r="N83" s="21" t="n">
        <v>873.0599999999999</v>
      </c>
      <c r="O83" s="21" t="n">
        <v>1713.01</v>
      </c>
      <c r="P83" s="21" t="n">
        <v>0.10198</v>
      </c>
      <c r="Q83" s="21" t="n">
        <v>0.0008835</v>
      </c>
    </row>
    <row r="84" ht="15" customHeight="1">
      <c r="A84" s="24" t="n">
        <v>70</v>
      </c>
      <c r="B84" s="24" t="n">
        <v>200</v>
      </c>
      <c r="C84" s="24" t="n">
        <v>3.0303</v>
      </c>
      <c r="D84" s="24" t="n">
        <v>16.5</v>
      </c>
      <c r="E84" s="24" t="inlineStr">
        <is>
          <t>TBD</t>
        </is>
      </c>
      <c r="F84" s="53" t="inlineStr">
        <is>
          <t>0.25</t>
        </is>
      </c>
      <c r="G84" s="53" t="inlineStr">
        <is>
          <t>0.10</t>
        </is>
      </c>
      <c r="H84" s="24" t="n">
        <v>20000</v>
      </c>
      <c r="I84" s="21" t="inlineStr">
        <is>
          <t>Ready</t>
        </is>
      </c>
      <c r="J84" s="9" t="inlineStr">
        <is>
          <t>Properties fully sourced 2026-10-07 — Ag: fully standard, no disagreement. MgO: rho settled (3580); Cp/k taken from Ag-MgO-specific literature (955/45) — an alternate published set (879/30) also exists, flagged in Parameter Legend.</t>
        </is>
      </c>
      <c r="K84" s="24" t="inlineStr">
        <is>
          <t>Ag-MgO</t>
        </is>
      </c>
      <c r="L84" s="24" t="n">
        <v>2</v>
      </c>
      <c r="M84" s="24" t="inlineStr">
        <is>
          <t>50:50 (assumed)</t>
        </is>
      </c>
      <c r="N84" s="21" t="n">
        <v>873.0599999999999</v>
      </c>
      <c r="O84" s="21" t="n">
        <v>1713.01</v>
      </c>
      <c r="P84" s="21" t="n">
        <v>0.10198</v>
      </c>
      <c r="Q84" s="21" t="n">
        <v>0.0008835</v>
      </c>
    </row>
    <row r="85" ht="15" customHeight="1">
      <c r="A85" s="24" t="n">
        <v>71</v>
      </c>
      <c r="B85" s="24" t="n">
        <v>200</v>
      </c>
      <c r="C85" s="24" t="n">
        <v>3.0303</v>
      </c>
      <c r="D85" s="24" t="n">
        <v>16.5</v>
      </c>
      <c r="E85" s="24" t="inlineStr">
        <is>
          <t>TBD</t>
        </is>
      </c>
      <c r="F85" s="53" t="inlineStr">
        <is>
          <t>0.25</t>
        </is>
      </c>
      <c r="G85" s="53" t="inlineStr">
        <is>
          <t>0.10</t>
        </is>
      </c>
      <c r="H85" s="24" t="n">
        <v>25000</v>
      </c>
      <c r="I85" s="21" t="inlineStr">
        <is>
          <t>Ready</t>
        </is>
      </c>
      <c r="J85" s="9" t="inlineStr">
        <is>
          <t>Properties fully sourced 2026-10-07 — Ag: fully standard, no disagreement. MgO: rho settled (3580); Cp/k taken from Ag-MgO-specific literature (955/45) — an alternate published set (879/30) also exists, flagged in Parameter Legend.</t>
        </is>
      </c>
      <c r="K85" s="24" t="inlineStr">
        <is>
          <t>Ag-MgO</t>
        </is>
      </c>
      <c r="L85" s="24" t="n">
        <v>2</v>
      </c>
      <c r="M85" s="24" t="inlineStr">
        <is>
          <t>50:50 (assumed)</t>
        </is>
      </c>
      <c r="N85" s="21" t="n">
        <v>873.0599999999999</v>
      </c>
      <c r="O85" s="21" t="n">
        <v>1713.01</v>
      </c>
      <c r="P85" s="21" t="n">
        <v>0.10198</v>
      </c>
      <c r="Q85" s="21" t="n">
        <v>0.0008835</v>
      </c>
    </row>
    <row r="86" ht="15" customHeight="1">
      <c r="A86" s="24" t="n">
        <v>72</v>
      </c>
      <c r="B86" s="24" t="n">
        <v>200</v>
      </c>
      <c r="C86" s="24" t="n">
        <v>3.0303</v>
      </c>
      <c r="D86" s="24" t="n">
        <v>16.5</v>
      </c>
      <c r="E86" s="24" t="inlineStr">
        <is>
          <t>TBD</t>
        </is>
      </c>
      <c r="F86" s="53" t="inlineStr">
        <is>
          <t>0.25</t>
        </is>
      </c>
      <c r="G86" s="53" t="inlineStr">
        <is>
          <t>0.10</t>
        </is>
      </c>
      <c r="H86" s="24" t="n">
        <v>30000</v>
      </c>
      <c r="I86" s="21" t="inlineStr">
        <is>
          <t>Ready</t>
        </is>
      </c>
      <c r="J86" s="9" t="inlineStr">
        <is>
          <t>Properties fully sourced 2026-10-07 — Ag: fully standard, no disagreement. MgO: rho settled (3580); Cp/k taken from Ag-MgO-specific literature (955/45) — an alternate published set (879/30) also exists, flagged in Parameter Legend.</t>
        </is>
      </c>
      <c r="K86" s="24" t="inlineStr">
        <is>
          <t>Ag-MgO</t>
        </is>
      </c>
      <c r="L86" s="24" t="n">
        <v>2</v>
      </c>
      <c r="M86" s="24" t="inlineStr">
        <is>
          <t>50:50 (assumed)</t>
        </is>
      </c>
      <c r="N86" s="21" t="n">
        <v>873.0599999999999</v>
      </c>
      <c r="O86" s="21" t="n">
        <v>1713.01</v>
      </c>
      <c r="P86" s="21" t="n">
        <v>0.10198</v>
      </c>
      <c r="Q86" s="21" t="n">
        <v>0.0008835</v>
      </c>
    </row>
    <row r="87" ht="18" customHeight="1">
      <c r="A87" s="10" t="inlineStr">
        <is>
          <t>Result: all three nanofluids are now data-complete (Fe2O3-GO, Al2O3-MWCNT, Ag-MgO), all at phi=2%, 50:50 split — ready to run once dpo/dti=0.25 and tp/dpo are confirmed from the Stage 3 geometry re-runs (Run 39, Run 54).</t>
        </is>
      </c>
      <c r="B87" s="13" t="n"/>
      <c r="C87" s="13" t="n"/>
      <c r="D87" s="13" t="n"/>
      <c r="E87" s="13" t="n"/>
      <c r="F87" s="13" t="n"/>
      <c r="G87" s="13" t="n"/>
      <c r="H87" s="13" t="n"/>
      <c r="I87" s="13" t="n"/>
      <c r="J87" s="13" t="n"/>
      <c r="K87" s="13" t="n"/>
      <c r="L87" s="13" t="n"/>
      <c r="M87" s="13" t="n"/>
      <c r="N87" s="13" t="n"/>
      <c r="O87" s="13" t="n"/>
      <c r="P87" s="13" t="n"/>
      <c r="Q87" s="14" t="n"/>
    </row>
    <row r="88">
      <c r="A88" s="3" t="inlineStr">
        <is>
          <t>Summary</t>
        </is>
      </c>
      <c r="B88" s="13" t="n"/>
      <c r="C88" s="13" t="n"/>
      <c r="D88" s="13" t="n"/>
      <c r="E88" s="13" t="n"/>
      <c r="F88" s="13" t="n"/>
      <c r="G88" s="13" t="n"/>
      <c r="H88" s="13" t="n"/>
      <c r="I88" s="13" t="n"/>
      <c r="J88" s="14" t="n"/>
    </row>
    <row r="89">
      <c r="A89" s="7" t="inlineStr">
        <is>
          <t>Total runs (geometry screening): 54 — 6 baseline + 18 Stage 1 (Pt) + 18 Stage 2 (dpo/dti) + 12 Stage 3 (tp/dpo)</t>
        </is>
      </c>
      <c r="B89" s="13" t="n"/>
      <c r="C89" s="13" t="n"/>
      <c r="D89" s="13" t="n"/>
      <c r="E89" s="13" t="n"/>
      <c r="F89" s="13" t="n"/>
      <c r="G89" s="13" t="n"/>
      <c r="H89" s="13" t="n"/>
      <c r="I89" s="13" t="n"/>
      <c r="J89" s="14" t="n"/>
    </row>
    <row r="90">
      <c r="A90" s="33" t="inlineStr">
        <is>
          <t>Done: 54  |  Fixed 2026-10-04: 2 (Run 47, Run 52)  |  Fixed 2026-10-07: 2 (Run 39, Run 54)  |  Remaining: 0 — all 54 geometry runs complete.</t>
        </is>
      </c>
      <c r="B90" s="13" t="n"/>
      <c r="C90" s="13" t="n"/>
      <c r="D90" s="13" t="n"/>
      <c r="E90" s="13" t="n"/>
      <c r="F90" s="13" t="n"/>
      <c r="G90" s="13" t="n"/>
      <c r="H90" s="13" t="n"/>
      <c r="I90" s="13" t="n"/>
      <c r="J90" s="14" t="n"/>
    </row>
    <row r="91">
      <c r="A91" s="7" t="inlineStr">
        <is>
          <t>Legend: green = done, yellow = diverged / needs attention, grey = pending</t>
        </is>
      </c>
      <c r="B91" s="13" t="n"/>
      <c r="C91" s="13" t="n"/>
      <c r="D91" s="13" t="n"/>
      <c r="E91" s="13" t="n"/>
      <c r="F91" s="13" t="n"/>
      <c r="G91" s="13" t="n"/>
      <c r="H91" s="13" t="n"/>
      <c r="I91" s="13" t="n"/>
      <c r="J91" s="14" t="n"/>
    </row>
    <row r="92">
      <c r="A92" s="33" t="inlineStr">
        <is>
          <t>Open items: none — all 4 previously-diverged runs (Run 39, 47, 52, 54) are now fixed and confirmed. Geometry decision final: dpo/dti=0.25, tp/dpo=0.10.</t>
        </is>
      </c>
      <c r="B92" s="13" t="n"/>
      <c r="C92" s="13" t="n"/>
      <c r="D92" s="13" t="n"/>
      <c r="E92" s="13" t="n"/>
      <c r="F92" s="13" t="n"/>
      <c r="G92" s="13" t="n"/>
      <c r="H92" s="13" t="n"/>
      <c r="I92" s="13" t="n"/>
      <c r="J92" s="14" t="n"/>
    </row>
  </sheetData>
  <mergeCells count="12">
    <mergeCell ref="A1:J1"/>
    <mergeCell ref="A5:J5"/>
    <mergeCell ref="A32:J32"/>
    <mergeCell ref="A67:Q67"/>
    <mergeCell ref="A31:J31"/>
    <mergeCell ref="A87:Q87"/>
    <mergeCell ref="A53:J53"/>
    <mergeCell ref="A12:J12"/>
    <mergeCell ref="A2:J2"/>
    <mergeCell ref="A68:Q68"/>
    <mergeCell ref="A52:J52"/>
    <mergeCell ref="A51:J5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2"/>
  <sheetViews>
    <sheetView showGridLines="0" workbookViewId="0">
      <selection activeCell="A1" sqref="A1"/>
    </sheetView>
  </sheetViews>
  <sheetFormatPr baseColWidth="8" defaultRowHeight="15"/>
  <cols>
    <col width="6" customWidth="1" min="1" max="1"/>
    <col width="8" customWidth="1" min="2" max="2"/>
    <col width="8" customWidth="1" min="3" max="3"/>
    <col width="8" customWidth="1" min="4" max="4"/>
    <col width="11" customWidth="1" min="5" max="5"/>
    <col width="11" customWidth="1" min="6" max="6"/>
    <col width="11" customWidth="1" min="7" max="7"/>
    <col width="13" customWidth="1" min="8" max="8"/>
    <col width="13" customWidth="1" min="9" max="9"/>
    <col width="13" customWidth="1" min="10" max="10"/>
    <col width="44" customWidth="1" min="11" max="11"/>
  </cols>
  <sheetData>
    <row r="1" ht="22" customHeight="1">
      <c r="A1" s="26" t="inlineStr">
        <is>
          <t>Grand Output v2 — All 30 Promoter-Size + Wall-Thickness Runs — ALL CASES NOW VALID (2026-10-07, Run 39 &amp; Run 54 fixed)</t>
        </is>
      </c>
      <c r="B1" s="13" t="n"/>
      <c r="C1" s="13" t="n"/>
      <c r="D1" s="13" t="n"/>
      <c r="E1" s="13" t="n"/>
      <c r="F1" s="13" t="n"/>
      <c r="G1" s="13" t="n"/>
      <c r="H1" s="13" t="n"/>
      <c r="I1" s="13" t="n"/>
      <c r="J1" s="13" t="n"/>
      <c r="K1" s="14" t="n"/>
    </row>
    <row r="3" ht="18" customHeight="1">
      <c r="A3" s="27" t="inlineStr">
        <is>
          <t>Section 1 — Raw Fluent Output (all 30 cases, 30/30 valid)</t>
        </is>
      </c>
      <c r="B3" s="13" t="n"/>
      <c r="C3" s="13" t="n"/>
      <c r="D3" s="13" t="n"/>
      <c r="E3" s="13" t="n"/>
      <c r="F3" s="13" t="n"/>
      <c r="G3" s="13" t="n"/>
      <c r="H3" s="13" t="n"/>
      <c r="I3" s="13" t="n"/>
      <c r="J3" s="13" t="n"/>
      <c r="K3" s="14" t="n"/>
    </row>
    <row r="4" ht="28" customHeight="1">
      <c r="A4" s="28" t="inlineStr">
        <is>
          <t>#</t>
        </is>
      </c>
      <c r="B4" s="28" t="inlineStr">
        <is>
          <t>dpo/dti</t>
        </is>
      </c>
      <c r="C4" s="28" t="inlineStr">
        <is>
          <t>tp/dpo</t>
        </is>
      </c>
      <c r="D4" s="28" t="inlineStr">
        <is>
          <t>Re</t>
        </is>
      </c>
      <c r="E4" s="28" t="inlineStr">
        <is>
          <t>t_out (K)</t>
        </is>
      </c>
      <c r="F4" s="28" t="inlineStr">
        <is>
          <t>t_wall (K)</t>
        </is>
      </c>
      <c r="G4" s="28" t="inlineStr">
        <is>
          <t>mdot_in (kg/s)</t>
        </is>
      </c>
      <c r="H4" s="28" t="inlineStr">
        <is>
          <t>tau_wall (Pa)</t>
        </is>
      </c>
      <c r="I4" s="28" t="inlineStr">
        <is>
          <t>wall_heat_flux</t>
        </is>
      </c>
      <c r="J4" s="28" t="inlineStr">
        <is>
          <t>Status</t>
        </is>
      </c>
      <c r="K4" s="28" t="inlineStr">
        <is>
          <t>Notes</t>
        </is>
      </c>
    </row>
    <row r="5" ht="15" customHeight="1">
      <c r="A5" s="46" t="n">
        <v>1</v>
      </c>
      <c r="B5" s="46" t="n">
        <v>0.15</v>
      </c>
      <c r="C5" s="46" t="n">
        <v>0.05</v>
      </c>
      <c r="D5" s="46" t="n">
        <v>5000</v>
      </c>
      <c r="E5" s="46" t="n">
        <v>538.22</v>
      </c>
      <c r="F5" s="46" t="n">
        <v>792.9</v>
      </c>
      <c r="G5" s="46" t="n">
        <v>0.2077</v>
      </c>
      <c r="H5" s="46" t="n">
        <v>0.03421</v>
      </c>
      <c r="I5" s="46" t="n">
        <v>37764.9</v>
      </c>
      <c r="J5" s="46" t="inlineStr">
        <is>
          <t>Done</t>
        </is>
      </c>
      <c r="K5" s="47" t="inlineStr"/>
    </row>
    <row r="6" ht="15" customHeight="1">
      <c r="A6" s="46" t="n">
        <v>2</v>
      </c>
      <c r="B6" s="46" t="n">
        <v>0.15</v>
      </c>
      <c r="C6" s="46" t="n">
        <v>0.05</v>
      </c>
      <c r="D6" s="46" t="n">
        <v>10000</v>
      </c>
      <c r="E6" s="46" t="n">
        <v>519.16</v>
      </c>
      <c r="F6" s="46" t="n">
        <v>682.76</v>
      </c>
      <c r="G6" s="46" t="n">
        <v>0.4154</v>
      </c>
      <c r="H6" s="46" t="n">
        <v>0.10793</v>
      </c>
      <c r="I6" s="46" t="n">
        <v>37764.9</v>
      </c>
      <c r="J6" s="46" t="inlineStr">
        <is>
          <t>Done</t>
        </is>
      </c>
      <c r="K6" s="47" t="inlineStr"/>
    </row>
    <row r="7" ht="15" customHeight="1">
      <c r="A7" s="46" t="n">
        <v>3</v>
      </c>
      <c r="B7" s="46" t="n">
        <v>0.15</v>
      </c>
      <c r="C7" s="46" t="n">
        <v>0.05</v>
      </c>
      <c r="D7" s="46" t="n">
        <v>15000</v>
      </c>
      <c r="E7" s="46" t="n">
        <v>512.79</v>
      </c>
      <c r="F7" s="46" t="n">
        <v>633.13</v>
      </c>
      <c r="G7" s="46" t="n">
        <v>0.6231</v>
      </c>
      <c r="H7" s="46" t="n">
        <v>0.21607</v>
      </c>
      <c r="I7" s="46" t="n">
        <v>37764.9</v>
      </c>
      <c r="J7" s="46" t="inlineStr">
        <is>
          <t>Done</t>
        </is>
      </c>
      <c r="K7" s="47" t="inlineStr"/>
    </row>
    <row r="8" ht="15" customHeight="1">
      <c r="A8" s="46" t="n">
        <v>4</v>
      </c>
      <c r="B8" s="46" t="n">
        <v>0.15</v>
      </c>
      <c r="C8" s="46" t="n">
        <v>0.05</v>
      </c>
      <c r="D8" s="46" t="n">
        <v>20000</v>
      </c>
      <c r="E8" s="46" t="n">
        <v>509.59</v>
      </c>
      <c r="F8" s="46" t="n">
        <v>606.1799999999999</v>
      </c>
      <c r="G8" s="46" t="n">
        <v>0.8308</v>
      </c>
      <c r="H8" s="46" t="n">
        <v>0.35269</v>
      </c>
      <c r="I8" s="46" t="n">
        <v>37764.9</v>
      </c>
      <c r="J8" s="46" t="inlineStr">
        <is>
          <t>Done</t>
        </is>
      </c>
      <c r="K8" s="47" t="inlineStr"/>
    </row>
    <row r="9" ht="15" customHeight="1">
      <c r="A9" s="46" t="n">
        <v>5</v>
      </c>
      <c r="B9" s="46" t="n">
        <v>0.15</v>
      </c>
      <c r="C9" s="46" t="n">
        <v>0.05</v>
      </c>
      <c r="D9" s="46" t="n">
        <v>25000</v>
      </c>
      <c r="E9" s="46" t="n">
        <v>507.68</v>
      </c>
      <c r="F9" s="46" t="n">
        <v>589.62</v>
      </c>
      <c r="G9" s="46" t="n">
        <v>1.0384</v>
      </c>
      <c r="H9" s="46" t="n">
        <v>0.51334</v>
      </c>
      <c r="I9" s="46" t="n">
        <v>37764.9</v>
      </c>
      <c r="J9" s="46" t="inlineStr">
        <is>
          <t>Done</t>
        </is>
      </c>
      <c r="K9" s="47" t="inlineStr"/>
    </row>
    <row r="10" ht="15" customHeight="1">
      <c r="A10" s="46" t="n">
        <v>6</v>
      </c>
      <c r="B10" s="46" t="n">
        <v>0.15</v>
      </c>
      <c r="C10" s="46" t="n">
        <v>0.05</v>
      </c>
      <c r="D10" s="46" t="n">
        <v>30000</v>
      </c>
      <c r="E10" s="46" t="n">
        <v>506.4</v>
      </c>
      <c r="F10" s="46" t="n">
        <v>578.3</v>
      </c>
      <c r="G10" s="46" t="n">
        <v>1.2461</v>
      </c>
      <c r="H10" s="46" t="n">
        <v>0.69404</v>
      </c>
      <c r="I10" s="46" t="n">
        <v>37764.9</v>
      </c>
      <c r="J10" s="46" t="inlineStr">
        <is>
          <t>Done</t>
        </is>
      </c>
      <c r="K10" s="47" t="inlineStr"/>
    </row>
    <row r="11" ht="15" customHeight="1">
      <c r="A11" s="46" t="n">
        <v>7</v>
      </c>
      <c r="B11" s="46" t="n">
        <v>0.2</v>
      </c>
      <c r="C11" s="46" t="n">
        <v>0.05</v>
      </c>
      <c r="D11" s="46" t="n">
        <v>5000</v>
      </c>
      <c r="E11" s="46" t="n">
        <v>538.4</v>
      </c>
      <c r="F11" s="46" t="n">
        <v>782.0599999999999</v>
      </c>
      <c r="G11" s="46" t="n">
        <v>0.2068</v>
      </c>
      <c r="H11" s="46" t="n">
        <v>0.03562</v>
      </c>
      <c r="I11" s="46" t="n">
        <v>37764.9</v>
      </c>
      <c r="J11" s="46" t="inlineStr">
        <is>
          <t>Done</t>
        </is>
      </c>
      <c r="K11" s="47" t="inlineStr"/>
    </row>
    <row r="12" ht="15" customHeight="1">
      <c r="A12" s="46" t="n">
        <v>8</v>
      </c>
      <c r="B12" s="46" t="n">
        <v>0.2</v>
      </c>
      <c r="C12" s="46" t="n">
        <v>0.05</v>
      </c>
      <c r="D12" s="46" t="n">
        <v>10000</v>
      </c>
      <c r="E12" s="46" t="n">
        <v>519.25</v>
      </c>
      <c r="F12" s="46" t="n">
        <v>678.0599999999999</v>
      </c>
      <c r="G12" s="46" t="n">
        <v>0.4136</v>
      </c>
      <c r="H12" s="46" t="n">
        <v>0.11198</v>
      </c>
      <c r="I12" s="46" t="n">
        <v>37764.9</v>
      </c>
      <c r="J12" s="46" t="inlineStr">
        <is>
          <t>Done</t>
        </is>
      </c>
      <c r="K12" s="47" t="inlineStr"/>
    </row>
    <row r="13" ht="15" customHeight="1">
      <c r="A13" s="46" t="n">
        <v>9</v>
      </c>
      <c r="B13" s="46" t="n">
        <v>0.2</v>
      </c>
      <c r="C13" s="46" t="n">
        <v>0.05</v>
      </c>
      <c r="D13" s="46" t="n">
        <v>15000</v>
      </c>
      <c r="E13" s="46" t="n">
        <v>512.84</v>
      </c>
      <c r="F13" s="46" t="n">
        <v>630.3</v>
      </c>
      <c r="G13" s="46" t="n">
        <v>0.6204</v>
      </c>
      <c r="H13" s="46" t="n">
        <v>0.22359</v>
      </c>
      <c r="I13" s="46" t="n">
        <v>37764.9</v>
      </c>
      <c r="J13" s="46" t="inlineStr">
        <is>
          <t>Done</t>
        </is>
      </c>
      <c r="K13" s="47" t="inlineStr"/>
    </row>
    <row r="14" ht="15" customHeight="1">
      <c r="A14" s="46" t="n">
        <v>10</v>
      </c>
      <c r="B14" s="46" t="n">
        <v>0.2</v>
      </c>
      <c r="C14" s="46" t="n">
        <v>0.05</v>
      </c>
      <c r="D14" s="46" t="n">
        <v>20000</v>
      </c>
      <c r="E14" s="46" t="n">
        <v>509.64</v>
      </c>
      <c r="F14" s="46" t="n">
        <v>604.1</v>
      </c>
      <c r="G14" s="46" t="n">
        <v>0.8272</v>
      </c>
      <c r="H14" s="46" t="n">
        <v>0.36497</v>
      </c>
      <c r="I14" s="46" t="n">
        <v>37764.9</v>
      </c>
      <c r="J14" s="46" t="inlineStr">
        <is>
          <t>Done</t>
        </is>
      </c>
      <c r="K14" s="47" t="inlineStr"/>
    </row>
    <row r="15" ht="15" customHeight="1">
      <c r="A15" s="46" t="n">
        <v>11</v>
      </c>
      <c r="B15" s="46" t="n">
        <v>0.2</v>
      </c>
      <c r="C15" s="46" t="n">
        <v>0.05</v>
      </c>
      <c r="D15" s="46" t="n">
        <v>25000</v>
      </c>
      <c r="E15" s="46" t="n">
        <v>507.71</v>
      </c>
      <c r="F15" s="46" t="n">
        <v>587.92</v>
      </c>
      <c r="G15" s="46" t="n">
        <v>1.034</v>
      </c>
      <c r="H15" s="46" t="n">
        <v>0.53154</v>
      </c>
      <c r="I15" s="46" t="n">
        <v>37764.9</v>
      </c>
      <c r="J15" s="46" t="inlineStr">
        <is>
          <t>Done</t>
        </is>
      </c>
      <c r="K15" s="47" t="inlineStr"/>
    </row>
    <row r="16" ht="15" customHeight="1">
      <c r="A16" s="46" t="n">
        <v>12</v>
      </c>
      <c r="B16" s="46" t="n">
        <v>0.2</v>
      </c>
      <c r="C16" s="46" t="n">
        <v>0.05</v>
      </c>
      <c r="D16" s="46" t="n">
        <v>30000</v>
      </c>
      <c r="E16" s="46" t="n">
        <v>506.43</v>
      </c>
      <c r="F16" s="46" t="n">
        <v>576.8099999999999</v>
      </c>
      <c r="G16" s="46" t="n">
        <v>1.2408</v>
      </c>
      <c r="H16" s="46" t="n">
        <v>0.71924</v>
      </c>
      <c r="I16" s="46" t="n">
        <v>37764.9</v>
      </c>
      <c r="J16" s="46" t="inlineStr">
        <is>
          <t>Done</t>
        </is>
      </c>
      <c r="K16" s="47" t="inlineStr"/>
    </row>
    <row r="17" ht="15" customHeight="1">
      <c r="A17" s="46" t="n">
        <v>13</v>
      </c>
      <c r="B17" s="46" t="n">
        <v>0.25</v>
      </c>
      <c r="C17" s="46" t="n">
        <v>0.05</v>
      </c>
      <c r="D17" s="46" t="n">
        <v>5000</v>
      </c>
      <c r="E17" s="46" t="n">
        <v>538.64</v>
      </c>
      <c r="F17" s="46" t="n">
        <v>771.3</v>
      </c>
      <c r="G17" s="46" t="n">
        <v>0.2057</v>
      </c>
      <c r="H17" s="46" t="n">
        <v>0.03751</v>
      </c>
      <c r="I17" s="46" t="n">
        <v>37764.9</v>
      </c>
      <c r="J17" s="46" t="inlineStr">
        <is>
          <t>Done</t>
        </is>
      </c>
      <c r="K17" s="47" t="inlineStr"/>
    </row>
    <row r="18" ht="15" customHeight="1">
      <c r="A18" s="46" t="n">
        <v>14</v>
      </c>
      <c r="B18" s="46" t="n">
        <v>0.25</v>
      </c>
      <c r="C18" s="46" t="n">
        <v>0.05</v>
      </c>
      <c r="D18" s="46" t="n">
        <v>10000</v>
      </c>
      <c r="E18" s="46" t="n">
        <v>511.72</v>
      </c>
      <c r="F18" s="46" t="n">
        <v>665.01</v>
      </c>
      <c r="G18" s="46" t="n">
        <v>0.4113</v>
      </c>
      <c r="H18" s="46" t="n">
        <v>0.13988</v>
      </c>
      <c r="I18" s="46" t="n">
        <v>37764.9</v>
      </c>
      <c r="J18" s="46" t="inlineStr">
        <is>
          <t>Done</t>
        </is>
      </c>
      <c r="K18" s="47" t="inlineStr"/>
    </row>
    <row r="19" ht="15" customHeight="1">
      <c r="A19" s="46" t="n">
        <v>15</v>
      </c>
      <c r="B19" s="46" t="n">
        <v>0.25</v>
      </c>
      <c r="C19" s="46" t="n">
        <v>0.05</v>
      </c>
      <c r="D19" s="46" t="n">
        <v>15000</v>
      </c>
      <c r="E19" s="46" t="n">
        <v>512.91</v>
      </c>
      <c r="F19" s="46" t="n">
        <v>627.12</v>
      </c>
      <c r="G19" s="46" t="n">
        <v>0.617</v>
      </c>
      <c r="H19" s="46" t="n">
        <v>0.23329</v>
      </c>
      <c r="I19" s="46" t="n">
        <v>37764.9</v>
      </c>
      <c r="J19" s="48" t="inlineStr">
        <is>
          <t>FIXED</t>
        </is>
      </c>
      <c r="K19" s="49" t="inlineStr">
        <is>
          <t>Run 39 — re-run 2026-10-07 (transient-then-Steady fix); now converged cleanly</t>
        </is>
      </c>
    </row>
    <row r="20" ht="15" customHeight="1">
      <c r="A20" s="46" t="n">
        <v>16</v>
      </c>
      <c r="B20" s="46" t="n">
        <v>0.25</v>
      </c>
      <c r="C20" s="46" t="n">
        <v>0.05</v>
      </c>
      <c r="D20" s="46" t="n">
        <v>20000</v>
      </c>
      <c r="E20" s="46" t="n">
        <v>509.01</v>
      </c>
      <c r="F20" s="46" t="n">
        <v>599.42</v>
      </c>
      <c r="G20" s="46" t="n">
        <v>0.8227</v>
      </c>
      <c r="H20" s="46" t="n">
        <v>0.42489</v>
      </c>
      <c r="I20" s="46" t="n">
        <v>37764.5</v>
      </c>
      <c r="J20" s="46" t="inlineStr">
        <is>
          <t>Done</t>
        </is>
      </c>
      <c r="K20" s="47" t="inlineStr"/>
    </row>
    <row r="21" ht="15" customHeight="1">
      <c r="A21" s="46" t="n">
        <v>17</v>
      </c>
      <c r="B21" s="46" t="n">
        <v>0.25</v>
      </c>
      <c r="C21" s="46" t="n">
        <v>0.05</v>
      </c>
      <c r="D21" s="46" t="n">
        <v>25000</v>
      </c>
      <c r="E21" s="46" t="n">
        <v>507.69</v>
      </c>
      <c r="F21" s="46" t="n">
        <v>584.53</v>
      </c>
      <c r="G21" s="46" t="n">
        <v>1.0283</v>
      </c>
      <c r="H21" s="46" t="n">
        <v>0.59145</v>
      </c>
      <c r="I21" s="46" t="n">
        <v>37765</v>
      </c>
      <c r="J21" s="46" t="inlineStr">
        <is>
          <t>Done</t>
        </is>
      </c>
      <c r="K21" s="47" t="inlineStr"/>
    </row>
    <row r="22" ht="15" customHeight="1">
      <c r="A22" s="46" t="n">
        <v>18</v>
      </c>
      <c r="B22" s="46" t="n">
        <v>0.25</v>
      </c>
      <c r="C22" s="46" t="n">
        <v>0.05</v>
      </c>
      <c r="D22" s="46" t="n">
        <v>30000</v>
      </c>
      <c r="E22" s="46" t="n">
        <v>506.39</v>
      </c>
      <c r="F22" s="46" t="n">
        <v>574.24</v>
      </c>
      <c r="G22" s="46" t="n">
        <v>1.234</v>
      </c>
      <c r="H22" s="46" t="n">
        <v>0.77407</v>
      </c>
      <c r="I22" s="46" t="n">
        <v>37764.9</v>
      </c>
      <c r="J22" s="46" t="inlineStr">
        <is>
          <t>Done</t>
        </is>
      </c>
      <c r="K22" s="47" t="inlineStr"/>
    </row>
    <row r="23" ht="15" customHeight="1">
      <c r="A23" s="46" t="n">
        <v>19</v>
      </c>
      <c r="B23" s="46" t="n">
        <v>0.25</v>
      </c>
      <c r="C23" s="46" t="n">
        <v>0.1</v>
      </c>
      <c r="D23" s="46" t="n">
        <v>5000</v>
      </c>
      <c r="E23" s="46" t="n">
        <v>539.17</v>
      </c>
      <c r="F23" s="46" t="n">
        <v>772.3</v>
      </c>
      <c r="G23" s="46" t="n">
        <v>0.2028</v>
      </c>
      <c r="H23" s="46" t="n">
        <v>0.03744</v>
      </c>
      <c r="I23" s="46" t="n">
        <v>37764.9</v>
      </c>
      <c r="J23" s="46" t="inlineStr">
        <is>
          <t>Done</t>
        </is>
      </c>
      <c r="K23" s="47" t="inlineStr"/>
    </row>
    <row r="24" ht="15" customHeight="1">
      <c r="A24" s="46" t="n">
        <v>20</v>
      </c>
      <c r="B24" s="46" t="n">
        <v>0.25</v>
      </c>
      <c r="C24" s="46" t="n">
        <v>0.1</v>
      </c>
      <c r="D24" s="46" t="n">
        <v>10000</v>
      </c>
      <c r="E24" s="46" t="n">
        <v>519.63</v>
      </c>
      <c r="F24" s="46" t="n">
        <v>673.22</v>
      </c>
      <c r="G24" s="46" t="n">
        <v>0.4057</v>
      </c>
      <c r="H24" s="46" t="n">
        <v>0.11728</v>
      </c>
      <c r="I24" s="46" t="n">
        <v>37764.9</v>
      </c>
      <c r="J24" s="46" t="inlineStr">
        <is>
          <t>Done</t>
        </is>
      </c>
      <c r="K24" s="47" t="inlineStr"/>
    </row>
    <row r="25" ht="15" customHeight="1">
      <c r="A25" s="46" t="n">
        <v>21</v>
      </c>
      <c r="B25" s="46" t="n">
        <v>0.25</v>
      </c>
      <c r="C25" s="46" t="n">
        <v>0.1</v>
      </c>
      <c r="D25" s="46" t="n">
        <v>15000</v>
      </c>
      <c r="E25" s="46" t="n">
        <v>511.75</v>
      </c>
      <c r="F25" s="46" t="n">
        <v>622.35</v>
      </c>
      <c r="G25" s="46" t="n">
        <v>0.6085</v>
      </c>
      <c r="H25" s="46" t="n">
        <v>0.27748</v>
      </c>
      <c r="I25" s="46" t="n">
        <v>37764.5</v>
      </c>
      <c r="J25" s="46" t="inlineStr">
        <is>
          <t>Done</t>
        </is>
      </c>
      <c r="K25" s="47" t="inlineStr"/>
    </row>
    <row r="26" ht="15" customHeight="1">
      <c r="A26" s="46" t="n">
        <v>22</v>
      </c>
      <c r="B26" s="46" t="n">
        <v>0.25</v>
      </c>
      <c r="C26" s="46" t="n">
        <v>0.1</v>
      </c>
      <c r="D26" s="46" t="n">
        <v>20000</v>
      </c>
      <c r="E26" s="46" t="n">
        <v>509.82</v>
      </c>
      <c r="F26" s="46" t="n">
        <v>599.35</v>
      </c>
      <c r="G26" s="46" t="n">
        <v>0.8113</v>
      </c>
      <c r="H26" s="46" t="n">
        <v>0.41921</v>
      </c>
      <c r="I26" s="46" t="n">
        <v>37764.8</v>
      </c>
      <c r="J26" s="46" t="inlineStr">
        <is>
          <t>Done</t>
        </is>
      </c>
      <c r="K26" s="47" t="inlineStr"/>
    </row>
    <row r="27" ht="15" customHeight="1">
      <c r="A27" s="46" t="n">
        <v>23</v>
      </c>
      <c r="B27" s="46" t="n">
        <v>0.25</v>
      </c>
      <c r="C27" s="46" t="n">
        <v>0.1</v>
      </c>
      <c r="D27" s="46" t="n">
        <v>25000</v>
      </c>
      <c r="E27" s="46" t="n">
        <v>507.86</v>
      </c>
      <c r="F27" s="46" t="n">
        <v>586.09</v>
      </c>
      <c r="G27" s="46" t="n">
        <v>1.0142</v>
      </c>
      <c r="H27" s="46" t="n">
        <v>0.55332</v>
      </c>
      <c r="I27" s="46" t="n">
        <v>37764.9</v>
      </c>
      <c r="J27" s="46" t="inlineStr">
        <is>
          <t>FIXED</t>
        </is>
      </c>
      <c r="K27" s="47" t="inlineStr">
        <is>
          <t>Re-run 2026-10-04: transient (50 steps, dt=1e-4s) then Steady; converged cleanly</t>
        </is>
      </c>
    </row>
    <row r="28" ht="15" customHeight="1">
      <c r="A28" s="46" t="n">
        <v>24</v>
      </c>
      <c r="B28" s="46" t="n">
        <v>0.25</v>
      </c>
      <c r="C28" s="46" t="n">
        <v>0.1</v>
      </c>
      <c r="D28" s="46" t="n">
        <v>30000</v>
      </c>
      <c r="E28" s="46" t="n">
        <v>506.54</v>
      </c>
      <c r="F28" s="46" t="n">
        <v>573.4</v>
      </c>
      <c r="G28" s="46" t="n">
        <v>1.217</v>
      </c>
      <c r="H28" s="46" t="n">
        <v>0.80392</v>
      </c>
      <c r="I28" s="46" t="n">
        <v>37765</v>
      </c>
      <c r="J28" s="46" t="inlineStr">
        <is>
          <t>Done</t>
        </is>
      </c>
      <c r="K28" s="47" t="inlineStr"/>
    </row>
    <row r="29" ht="15" customHeight="1">
      <c r="A29" s="46" t="n">
        <v>25</v>
      </c>
      <c r="B29" s="46" t="n">
        <v>0.25</v>
      </c>
      <c r="C29" s="46" t="n">
        <v>0.15</v>
      </c>
      <c r="D29" s="46" t="n">
        <v>5000</v>
      </c>
      <c r="E29" s="46" t="n">
        <v>539.66</v>
      </c>
      <c r="F29" s="46" t="n">
        <v>772.28</v>
      </c>
      <c r="G29" s="46" t="n">
        <v>0.2003</v>
      </c>
      <c r="H29" s="46" t="n">
        <v>0.03745</v>
      </c>
      <c r="I29" s="46" t="n">
        <v>37764.9</v>
      </c>
      <c r="J29" s="46" t="inlineStr">
        <is>
          <t>Done</t>
        </is>
      </c>
      <c r="K29" s="47" t="inlineStr"/>
    </row>
    <row r="30" ht="15" customHeight="1">
      <c r="A30" s="46" t="n">
        <v>26</v>
      </c>
      <c r="B30" s="46" t="n">
        <v>0.25</v>
      </c>
      <c r="C30" s="46" t="n">
        <v>0.15</v>
      </c>
      <c r="D30" s="46" t="n">
        <v>10000</v>
      </c>
      <c r="E30" s="46" t="n">
        <v>512.65</v>
      </c>
      <c r="F30" s="46" t="n">
        <v>659.64</v>
      </c>
      <c r="G30" s="46" t="n">
        <v>0.4007</v>
      </c>
      <c r="H30" s="46" t="n">
        <v>0.17827</v>
      </c>
      <c r="I30" s="46" t="n">
        <v>37764.8</v>
      </c>
      <c r="J30" s="46" t="inlineStr">
        <is>
          <t>Done</t>
        </is>
      </c>
      <c r="K30" s="47" t="inlineStr"/>
    </row>
    <row r="31" ht="15" customHeight="1">
      <c r="A31" s="46" t="n">
        <v>27</v>
      </c>
      <c r="B31" s="46" t="n">
        <v>0.25</v>
      </c>
      <c r="C31" s="46" t="n">
        <v>0.15</v>
      </c>
      <c r="D31" s="46" t="n">
        <v>15000</v>
      </c>
      <c r="E31" s="46" t="n">
        <v>512.8099999999999</v>
      </c>
      <c r="F31" s="46" t="n">
        <v>622.58</v>
      </c>
      <c r="G31" s="46" t="n">
        <v>0.601</v>
      </c>
      <c r="H31" s="46" t="n">
        <v>0.27715</v>
      </c>
      <c r="I31" s="46" t="n">
        <v>37764.5</v>
      </c>
      <c r="J31" s="46" t="inlineStr">
        <is>
          <t>Done</t>
        </is>
      </c>
      <c r="K31" s="47" t="inlineStr"/>
    </row>
    <row r="32" ht="15" customHeight="1">
      <c r="A32" s="46" t="n">
        <v>28</v>
      </c>
      <c r="B32" s="46" t="n">
        <v>0.25</v>
      </c>
      <c r="C32" s="46" t="n">
        <v>0.15</v>
      </c>
      <c r="D32" s="46" t="n">
        <v>20000</v>
      </c>
      <c r="E32" s="46" t="n">
        <v>509.95</v>
      </c>
      <c r="F32" s="46" t="n">
        <v>601.83</v>
      </c>
      <c r="G32" s="46" t="n">
        <v>0.8014</v>
      </c>
      <c r="H32" s="46" t="n">
        <v>0.38019</v>
      </c>
      <c r="I32" s="46" t="n">
        <v>37764.9</v>
      </c>
      <c r="J32" s="46" t="inlineStr">
        <is>
          <t>FIXED</t>
        </is>
      </c>
      <c r="K32" s="47" t="inlineStr">
        <is>
          <t>Re-run 2026-10-04: same transient-then-Steady fix; converged cleanly</t>
        </is>
      </c>
    </row>
    <row r="33" ht="15" customHeight="1">
      <c r="A33" s="46" t="n">
        <v>29</v>
      </c>
      <c r="B33" s="46" t="n">
        <v>0.25</v>
      </c>
      <c r="C33" s="46" t="n">
        <v>0.15</v>
      </c>
      <c r="D33" s="46" t="n">
        <v>25000</v>
      </c>
      <c r="E33" s="46" t="n">
        <v>507.96</v>
      </c>
      <c r="F33" s="46" t="n">
        <v>584.08</v>
      </c>
      <c r="G33" s="46" t="n">
        <v>1.0017</v>
      </c>
      <c r="H33" s="46" t="n">
        <v>0.61978</v>
      </c>
      <c r="I33" s="46" t="n">
        <v>37764.7</v>
      </c>
      <c r="J33" s="46" t="inlineStr">
        <is>
          <t>Done</t>
        </is>
      </c>
      <c r="K33" s="47" t="inlineStr"/>
    </row>
    <row r="34" ht="15" customHeight="1">
      <c r="A34" s="46" t="n">
        <v>30</v>
      </c>
      <c r="B34" s="46" t="n">
        <v>0.25</v>
      </c>
      <c r="C34" s="46" t="n">
        <v>0.15</v>
      </c>
      <c r="D34" s="46" t="n">
        <v>30000</v>
      </c>
      <c r="E34" s="46" t="n">
        <v>506.53</v>
      </c>
      <c r="F34" s="46" t="n">
        <v>573.73</v>
      </c>
      <c r="G34" s="46" t="n">
        <v>1.2217</v>
      </c>
      <c r="H34" s="46" t="n">
        <v>0.81645</v>
      </c>
      <c r="I34" s="46" t="n">
        <v>37765</v>
      </c>
      <c r="J34" s="48" t="inlineStr">
        <is>
          <t>FIXED</t>
        </is>
      </c>
      <c r="K34" s="49" t="inlineStr">
        <is>
          <t>Run 54 — re-run 2026-10-07 (transient-then-Steady fix); now converged cleanly</t>
        </is>
      </c>
    </row>
    <row r="36" ht="28" customHeight="1">
      <c r="A36" s="33" t="inlineStr">
        <is>
          <t>Note on p_out: shows ~500 K instead of a small Pa value for every case — known report-definition mix-up; real outlet BC is gauge 0 Pa. Not used in any calculation below.</t>
        </is>
      </c>
      <c r="B36" s="13" t="n"/>
      <c r="C36" s="13" t="n"/>
      <c r="D36" s="13" t="n"/>
      <c r="E36" s="13" t="n"/>
      <c r="F36" s="13" t="n"/>
      <c r="G36" s="13" t="n"/>
      <c r="H36" s="13" t="n"/>
      <c r="I36" s="13" t="n"/>
      <c r="J36" s="13" t="n"/>
      <c r="K36" s="14" t="n"/>
    </row>
    <row r="38" ht="18" customHeight="1">
      <c r="A38" s="27" t="inlineStr">
        <is>
          <t>Section 2 — Promoter-Size Comparison (Stage 2: tp/dpo=0.05 fixed) — CONFIRMED, 6/6 valid in every group</t>
        </is>
      </c>
      <c r="B38" s="13" t="n"/>
      <c r="C38" s="13" t="n"/>
      <c r="D38" s="13" t="n"/>
      <c r="E38" s="13" t="n"/>
      <c r="F38" s="13" t="n"/>
      <c r="G38" s="13" t="n"/>
      <c r="H38" s="13" t="n"/>
      <c r="I38" s="13" t="n"/>
      <c r="J38" s="13" t="n"/>
      <c r="K38" s="14" t="n"/>
    </row>
    <row r="39" ht="26" customHeight="1">
      <c r="A39" s="28" t="inlineStr">
        <is>
          <t>Re</t>
        </is>
      </c>
      <c r="B39" s="28" t="inlineStr">
        <is>
          <t>dpo/dti = 0.15</t>
        </is>
      </c>
      <c r="C39" s="28" t="inlineStr">
        <is>
          <t>dpo/dti = 0.2</t>
        </is>
      </c>
      <c r="D39" s="28" t="inlineStr">
        <is>
          <t>dpo/dti = 0.25</t>
        </is>
      </c>
      <c r="E39" s="28" t="inlineStr">
        <is>
          <t>dpo/dti = 0.15</t>
        </is>
      </c>
      <c r="F39" s="28" t="inlineStr">
        <is>
          <t>dpo/dti = 0.2</t>
        </is>
      </c>
      <c r="G39" s="28" t="inlineStr">
        <is>
          <t>dpo/dti = 0.25</t>
        </is>
      </c>
      <c r="H39" s="28" t="inlineStr">
        <is>
          <t>dpo/dti = 0.15</t>
        </is>
      </c>
      <c r="I39" s="28" t="inlineStr">
        <is>
          <t>dpo/dti = 0.2</t>
        </is>
      </c>
      <c r="J39" s="28" t="inlineStr">
        <is>
          <t>dpo/dti = 0.25</t>
        </is>
      </c>
    </row>
    <row r="40">
      <c r="A40" s="46" t="n">
        <v>5000</v>
      </c>
      <c r="B40" s="46" t="n">
        <v>0.96223</v>
      </c>
      <c r="C40" s="46" t="n">
        <v>1.00387</v>
      </c>
      <c r="D40" s="46" t="n">
        <v>1.05945</v>
      </c>
      <c r="E40" s="46" t="n">
        <v>1.20294</v>
      </c>
      <c r="F40" s="46" t="n">
        <v>1.25322</v>
      </c>
      <c r="G40" s="46" t="n">
        <v>1.30761</v>
      </c>
      <c r="H40" s="46" t="n">
        <v>1.21847</v>
      </c>
      <c r="I40" s="46" t="n">
        <v>1.2516</v>
      </c>
      <c r="J40" s="46" t="n">
        <v>1.28268</v>
      </c>
    </row>
    <row r="41">
      <c r="A41" s="46" t="n">
        <v>10000</v>
      </c>
      <c r="B41" s="46" t="n">
        <v>0.89286</v>
      </c>
      <c r="C41" s="46" t="n">
        <v>0.92806</v>
      </c>
      <c r="D41" s="46" t="n">
        <v>1.16817</v>
      </c>
      <c r="E41" s="46" t="n">
        <v>1.09948</v>
      </c>
      <c r="F41" s="46" t="n">
        <v>1.13054</v>
      </c>
      <c r="G41" s="46" t="n">
        <v>1.18763</v>
      </c>
      <c r="H41" s="46" t="n">
        <v>1.1418</v>
      </c>
      <c r="I41" s="46" t="n">
        <v>1.15903</v>
      </c>
      <c r="J41" s="46" t="n">
        <v>1.12766</v>
      </c>
    </row>
    <row r="42">
      <c r="A42" s="46" t="n">
        <v>15000</v>
      </c>
      <c r="B42" s="46" t="n">
        <v>0.86965</v>
      </c>
      <c r="C42" s="46" t="n">
        <v>0.90156</v>
      </c>
      <c r="D42" s="46" t="n">
        <v>0.9429</v>
      </c>
      <c r="E42" s="46" t="n">
        <v>1.06637</v>
      </c>
      <c r="F42" s="46" t="n">
        <v>1.09106</v>
      </c>
      <c r="G42" s="46" t="n">
        <v>1.12017</v>
      </c>
      <c r="H42" s="46" t="n">
        <v>1.11719</v>
      </c>
      <c r="I42" s="46" t="n">
        <v>1.12941</v>
      </c>
      <c r="J42" s="46" t="n">
        <v>1.14234</v>
      </c>
    </row>
    <row r="43">
      <c r="A43" s="46" t="n">
        <v>20000</v>
      </c>
      <c r="B43" s="46" t="n">
        <v>0.88069</v>
      </c>
      <c r="C43" s="46" t="n">
        <v>0.91301</v>
      </c>
      <c r="D43" s="46" t="n">
        <v>1.06595</v>
      </c>
      <c r="E43" s="46" t="n">
        <v>1.07778</v>
      </c>
      <c r="F43" s="46" t="n">
        <v>1.10065</v>
      </c>
      <c r="G43" s="46" t="n">
        <v>1.15052</v>
      </c>
      <c r="H43" s="46" t="n">
        <v>1.1244</v>
      </c>
      <c r="I43" s="46" t="n">
        <v>1.13455</v>
      </c>
      <c r="J43" s="46" t="n">
        <v>1.12628</v>
      </c>
    </row>
    <row r="44">
      <c r="A44" s="46" t="n">
        <v>25000</v>
      </c>
      <c r="B44" s="46" t="n">
        <v>0.90709</v>
      </c>
      <c r="C44" s="46" t="n">
        <v>0.94098</v>
      </c>
      <c r="D44" s="46" t="n">
        <v>1.04956</v>
      </c>
      <c r="E44" s="46" t="n">
        <v>1.08219</v>
      </c>
      <c r="F44" s="46" t="n">
        <v>1.10437</v>
      </c>
      <c r="G44" s="46" t="n">
        <v>1.15066</v>
      </c>
      <c r="H44" s="46" t="n">
        <v>1.11794</v>
      </c>
      <c r="I44" s="46" t="n">
        <v>1.12699</v>
      </c>
      <c r="J44" s="46" t="n">
        <v>1.13225</v>
      </c>
    </row>
    <row r="45">
      <c r="A45" s="46" t="n">
        <v>30000</v>
      </c>
      <c r="B45" s="46" t="n">
        <v>0.9241</v>
      </c>
      <c r="C45" s="46" t="n">
        <v>0.95941</v>
      </c>
      <c r="D45" s="46" t="n">
        <v>1.03505</v>
      </c>
      <c r="E45" s="46" t="n">
        <v>1.08203</v>
      </c>
      <c r="F45" s="46" t="n">
        <v>1.10424</v>
      </c>
      <c r="G45" s="46" t="n">
        <v>1.14381</v>
      </c>
      <c r="H45" s="46" t="n">
        <v>1.11088</v>
      </c>
      <c r="I45" s="46" t="n">
        <v>1.1196</v>
      </c>
      <c r="J45" s="46" t="n">
        <v>1.13075</v>
      </c>
    </row>
    <row r="47">
      <c r="A47" s="47" t="inlineStr">
        <is>
          <t>mean PEC (dpo/dti=0.15)</t>
        </is>
      </c>
      <c r="B47" s="47" t="inlineStr">
        <is>
          <t>1.1384  (6/6 valid)</t>
        </is>
      </c>
    </row>
    <row r="48">
      <c r="A48" s="47" t="inlineStr">
        <is>
          <t>mean PEC (dpo/dti=0.2)</t>
        </is>
      </c>
      <c r="B48" s="47" t="inlineStr">
        <is>
          <t>1.1535  (6/6 valid)</t>
        </is>
      </c>
    </row>
    <row r="49">
      <c r="A49" s="50" t="inlineStr">
        <is>
          <t>mean PEC (dpo/dti=0.25)  &lt;-- WINNER</t>
        </is>
      </c>
      <c r="B49" s="50" t="inlineStr">
        <is>
          <t>1.1570  (6/6 valid)</t>
        </is>
      </c>
    </row>
    <row r="51" ht="18" customHeight="1">
      <c r="A51" s="27" t="inlineStr">
        <is>
          <t>Section 3 — Wall-Thickness Comparison (Stage 3: dpo/dti=0.25 fixed) — CONFIRMED, 6/6 valid in every group</t>
        </is>
      </c>
      <c r="B51" s="13" t="n"/>
      <c r="C51" s="13" t="n"/>
      <c r="D51" s="13" t="n"/>
      <c r="E51" s="13" t="n"/>
      <c r="F51" s="13" t="n"/>
      <c r="G51" s="13" t="n"/>
      <c r="H51" s="13" t="n"/>
      <c r="I51" s="13" t="n"/>
      <c r="J51" s="13" t="n"/>
      <c r="K51" s="14" t="n"/>
    </row>
    <row r="52" ht="26" customHeight="1">
      <c r="A52" s="28" t="inlineStr">
        <is>
          <t>Re</t>
        </is>
      </c>
      <c r="B52" s="28" t="inlineStr">
        <is>
          <t>tp/dpo = 0.05</t>
        </is>
      </c>
      <c r="C52" s="28" t="inlineStr">
        <is>
          <t>tp/dpo = 0.1</t>
        </is>
      </c>
      <c r="D52" s="28" t="inlineStr">
        <is>
          <t>tp/dpo = 0.15</t>
        </is>
      </c>
      <c r="E52" s="28" t="inlineStr">
        <is>
          <t>tp/dpo = 0.05</t>
        </is>
      </c>
      <c r="F52" s="28" t="inlineStr">
        <is>
          <t>tp/dpo = 0.1</t>
        </is>
      </c>
      <c r="G52" s="28" t="inlineStr">
        <is>
          <t>tp/dpo = 0.15</t>
        </is>
      </c>
      <c r="H52" s="28" t="inlineStr">
        <is>
          <t>tp/dpo = 0.05</t>
        </is>
      </c>
      <c r="I52" s="28" t="inlineStr">
        <is>
          <t>tp/dpo = 0.1</t>
        </is>
      </c>
      <c r="J52" s="28" t="inlineStr">
        <is>
          <t>tp/dpo = 0.15</t>
        </is>
      </c>
    </row>
    <row r="53">
      <c r="A53" s="46" t="n">
        <v>5000</v>
      </c>
      <c r="B53" s="46" t="n">
        <v>1.05945</v>
      </c>
      <c r="C53" s="46" t="n">
        <v>1.06354</v>
      </c>
      <c r="D53" s="46" t="n">
        <v>1.06924</v>
      </c>
      <c r="E53" s="46" t="n">
        <v>1.30761</v>
      </c>
      <c r="F53" s="46" t="n">
        <v>1.30456</v>
      </c>
      <c r="G53" s="46" t="n">
        <v>1.30657</v>
      </c>
      <c r="H53" s="46" t="n">
        <v>1.28268</v>
      </c>
      <c r="I53" s="46" t="n">
        <v>1.27804</v>
      </c>
      <c r="J53" s="46" t="n">
        <v>1.27774</v>
      </c>
    </row>
    <row r="54">
      <c r="A54" s="46" t="n">
        <v>10000</v>
      </c>
      <c r="B54" s="46" t="n">
        <v>1.16817</v>
      </c>
      <c r="C54" s="46" t="n">
        <v>0.97993</v>
      </c>
      <c r="D54" s="46" t="n">
        <v>1.50508</v>
      </c>
      <c r="E54" s="46" t="n">
        <v>1.18763</v>
      </c>
      <c r="F54" s="46" t="n">
        <v>1.16579</v>
      </c>
      <c r="G54" s="46" t="n">
        <v>1.23395</v>
      </c>
      <c r="H54" s="46" t="n">
        <v>1.12766</v>
      </c>
      <c r="I54" s="46" t="n">
        <v>1.17369</v>
      </c>
      <c r="J54" s="46" t="n">
        <v>1.07674</v>
      </c>
    </row>
    <row r="55">
      <c r="A55" s="46" t="n">
        <v>15000</v>
      </c>
      <c r="B55" s="46" t="n">
        <v>0.9429</v>
      </c>
      <c r="C55" s="46" t="n">
        <v>1.12924</v>
      </c>
      <c r="D55" s="46" t="n">
        <v>1.13328</v>
      </c>
      <c r="E55" s="46" t="n">
        <v>1.12017</v>
      </c>
      <c r="F55" s="46" t="n">
        <v>1.15911</v>
      </c>
      <c r="G55" s="46" t="n">
        <v>1.16327</v>
      </c>
      <c r="H55" s="46" t="n">
        <v>1.14234</v>
      </c>
      <c r="I55" s="46" t="n">
        <v>1.11309</v>
      </c>
      <c r="J55" s="46" t="n">
        <v>1.11575</v>
      </c>
    </row>
    <row r="56">
      <c r="A56" s="46" t="n">
        <v>20000</v>
      </c>
      <c r="B56" s="46" t="n">
        <v>1.06595</v>
      </c>
      <c r="C56" s="46" t="n">
        <v>1.05751</v>
      </c>
      <c r="D56" s="46" t="n">
        <v>0.96427</v>
      </c>
      <c r="E56" s="46" t="n">
        <v>1.15052</v>
      </c>
      <c r="F56" s="46" t="n">
        <v>1.15727</v>
      </c>
      <c r="G56" s="46" t="n">
        <v>1.12854</v>
      </c>
      <c r="H56" s="46" t="n">
        <v>1.12628</v>
      </c>
      <c r="I56" s="46" t="n">
        <v>1.1359</v>
      </c>
      <c r="J56" s="46" t="n">
        <v>1.14232</v>
      </c>
    </row>
    <row r="57">
      <c r="A57" s="46" t="n">
        <v>25000</v>
      </c>
      <c r="B57" s="46" t="n">
        <v>1.04956</v>
      </c>
      <c r="C57" s="46" t="n">
        <v>0.98776</v>
      </c>
      <c r="D57" s="46" t="n">
        <v>1.11242</v>
      </c>
      <c r="E57" s="46" t="n">
        <v>1.15066</v>
      </c>
      <c r="F57" s="46" t="n">
        <v>1.13014</v>
      </c>
      <c r="G57" s="46" t="n">
        <v>1.15933</v>
      </c>
      <c r="H57" s="46" t="n">
        <v>1.13225</v>
      </c>
      <c r="I57" s="46" t="n">
        <v>1.13479</v>
      </c>
      <c r="J57" s="46" t="n">
        <v>1.11888</v>
      </c>
    </row>
    <row r="58">
      <c r="A58" s="46" t="n">
        <v>30000</v>
      </c>
      <c r="B58" s="46" t="n">
        <v>1.03505</v>
      </c>
      <c r="C58" s="46" t="n">
        <v>1.08141</v>
      </c>
      <c r="D58" s="46" t="n">
        <v>1.06906</v>
      </c>
      <c r="E58" s="46" t="n">
        <v>1.14381</v>
      </c>
      <c r="F58" s="46" t="n">
        <v>1.15889</v>
      </c>
      <c r="G58" s="46" t="n">
        <v>1.15337</v>
      </c>
      <c r="H58" s="46" t="n">
        <v>1.13075</v>
      </c>
      <c r="I58" s="46" t="n">
        <v>1.12905</v>
      </c>
      <c r="J58" s="46" t="n">
        <v>1.12798</v>
      </c>
    </row>
    <row r="60">
      <c r="A60" s="47" t="inlineStr">
        <is>
          <t>mean PEC (tp/dpo=0.05)</t>
        </is>
      </c>
      <c r="B60" s="47" t="inlineStr">
        <is>
          <t>1.1570  (6/6 valid)</t>
        </is>
      </c>
    </row>
    <row r="61">
      <c r="A61" s="50" t="inlineStr">
        <is>
          <t>mean PEC (tp/dpo=0.1)  &lt;-- WINNER</t>
        </is>
      </c>
      <c r="B61" s="50" t="inlineStr">
        <is>
          <t>1.1608  (6/6 valid)</t>
        </is>
      </c>
    </row>
    <row r="62">
      <c r="A62" s="47" t="inlineStr">
        <is>
          <t>mean PEC (tp/dpo=0.15)</t>
        </is>
      </c>
      <c r="B62" s="47" t="inlineStr">
        <is>
          <t>1.1432  (6/6 valid)</t>
        </is>
      </c>
    </row>
  </sheetData>
  <mergeCells count="5">
    <mergeCell ref="A3:K3"/>
    <mergeCell ref="A38:K38"/>
    <mergeCell ref="A51:K51"/>
    <mergeCell ref="A36:K36"/>
    <mergeCell ref="A1:K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2026-10-02T02:54:21Z</dcterms:created>
  <dcterms:modified xmlns:dcterms="http://purl.org/dc/terms/" xmlns:xsi="http://www.w3.org/2001/XMLSchema-instance" xsi:type="dcterms:W3CDTF">2026-10-19T05:05:17Z</dcterms:modified>
</cp:coreProperties>
</file>