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ameter Legend" sheetId="1" state="visible" r:id="rId1"/>
    <sheet xmlns:r="http://schemas.openxmlformats.org/officeDocument/2006/relationships" name="Parameter &amp; Run Tracking" sheetId="2" state="visible" r:id="rId2"/>
    <sheet xmlns:r="http://schemas.openxmlformats.org/officeDocument/2006/relationships" name="Grand Outpu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Times New Roman"/>
      <b val="1"/>
      <color rgb="FFFFFFFF"/>
      <sz val="12"/>
    </font>
    <font>
      <name val="Times New Roman"/>
      <color rgb="FF000000"/>
      <sz val="12"/>
    </font>
    <font>
      <name val="Times New Roman"/>
      <b val="1"/>
      <color rgb="FF000000"/>
      <sz val="12"/>
    </font>
    <font>
      <name val="Times New Roman"/>
      <b val="1"/>
      <color rgb="FFFFFFFF"/>
      <sz val="11"/>
    </font>
    <font>
      <name val="Times New Roman"/>
      <b val="1"/>
      <color rgb="FF000000"/>
      <sz val="11"/>
    </font>
    <font>
      <name val="Times New Roman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D9E2F3"/>
      </patternFill>
    </fill>
    <fill>
      <patternFill patternType="solid">
        <fgColor rgb="FF203864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BE4E4"/>
      </patternFill>
    </fill>
  </fills>
  <borders count="7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/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3" fillId="0" borderId="6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/>
    </xf>
    <xf numFmtId="0" fontId="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latin typeface="Arial"/>
              </a:defRPr>
            </a:pPr>
            <a:r>
              <a:rPr sz="1400" b="1">
                <a:latin typeface="Arial"/>
              </a:rPr>
              <a:t>Effect of Promoter Size Ratio on Friction Factor</a:t>
            </a:r>
          </a:p>
        </rich>
      </tx>
    </title>
    <plotArea>
      <lineChart>
        <grouping val="standard"/>
        <ser>
          <idx val="0"/>
          <order val="0"/>
          <tx>
            <strRef>
              <f>'Grand Output'!B39</f>
            </strRef>
          </tx>
          <spPr>
            <a:ln xmlns:a="http://schemas.openxmlformats.org/drawingml/2006/main" w="22225">
              <a:solidFill>
                <a:srgbClr val="FF0000"/>
              </a:solidFill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cat>
            <numRef>
              <f>'Grand Output'!$A$40:$A$45</f>
            </numRef>
          </cat>
          <val>
            <numRef>
              <f>'Grand Output'!$B$40:$B$45</f>
            </numRef>
          </val>
          <smooth val="0"/>
        </ser>
        <ser>
          <idx val="1"/>
          <order val="1"/>
          <tx>
            <strRef>
              <f>'Grand Output'!C39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cat>
            <numRef>
              <f>'Grand Output'!$A$40:$A$45</f>
            </numRef>
          </cat>
          <val>
            <numRef>
              <f>'Grand Output'!$C$40:$C$45</f>
            </numRef>
          </val>
          <smooth val="0"/>
        </ser>
        <ser>
          <idx val="2"/>
          <order val="2"/>
          <tx>
            <strRef>
              <f>'Grand Output'!D39</f>
            </strRef>
          </tx>
          <spPr>
            <a:ln xmlns:a="http://schemas.openxmlformats.org/drawingml/2006/main" w="22225">
              <a:solidFill>
                <a:srgbClr val="0000FF"/>
              </a:solidFill>
              <a:prstDash val="solid"/>
            </a:ln>
          </spPr>
          <marker>
            <symbol val="diamond"/>
            <size val="7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cat>
            <numRef>
              <f>'Grand Output'!$A$40:$A$45</f>
            </numRef>
          </cat>
          <val>
            <numRef>
              <f>'Grand Output'!$D$40:$D$45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100" b="1">
                    <a:latin typeface="Arial"/>
                  </a:defRPr>
                </a:pPr>
                <a:r>
                  <a:rPr sz="1100" b="1">
                    <a:latin typeface="Arial"/>
                  </a:rPr>
                  <a:t>Re (Reynolds Number)</a:t>
                </a:r>
              </a:p>
            </rich>
          </tx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000" b="0">
                <a:latin typeface="Arial"/>
              </a:defRPr>
            </a:pPr>
            <a:r>
              <a:t>None</a:t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100" b="1">
                    <a:latin typeface="Arial"/>
                  </a:defRPr>
                </a:pPr>
                <a:r>
                  <a:rPr sz="1100" b="1">
                    <a:latin typeface="Arial"/>
                  </a:rPr>
                  <a:t>f / fo</a:t>
                </a:r>
              </a:p>
            </rich>
          </tx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000" b="0">
                <a:latin typeface="Arial"/>
              </a:defRPr>
            </a:pPr>
            <a:r>
              <a:t>None</a:t>
            </a:r>
          </a:p>
        </txPr>
        <crossAx val="10"/>
      </valAx>
    </plotArea>
    <legend>
      <legendPos val="tr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latin typeface="Arial"/>
              </a:defRPr>
            </a:pPr>
            <a:r>
              <a:rPr sz="1400" b="1">
                <a:latin typeface="Arial"/>
              </a:rPr>
              <a:t>Effect of Promoter Size Ratio on Nusselt Number</a:t>
            </a:r>
          </a:p>
        </rich>
      </tx>
    </title>
    <plotArea>
      <lineChart>
        <grouping val="standard"/>
        <ser>
          <idx val="0"/>
          <order val="0"/>
          <tx>
            <strRef>
              <f>'Grand Output'!E39</f>
            </strRef>
          </tx>
          <spPr>
            <a:ln xmlns:a="http://schemas.openxmlformats.org/drawingml/2006/main" w="22225">
              <a:solidFill>
                <a:srgbClr val="FF0000"/>
              </a:solidFill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cat>
            <numRef>
              <f>'Grand Output'!$A$40:$A$45</f>
            </numRef>
          </cat>
          <val>
            <numRef>
              <f>'Grand Output'!$E$40:$E$45</f>
            </numRef>
          </val>
          <smooth val="0"/>
        </ser>
        <ser>
          <idx val="1"/>
          <order val="1"/>
          <tx>
            <strRef>
              <f>'Grand Output'!F39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cat>
            <numRef>
              <f>'Grand Output'!$A$40:$A$45</f>
            </numRef>
          </cat>
          <val>
            <numRef>
              <f>'Grand Output'!$F$40:$F$45</f>
            </numRef>
          </val>
          <smooth val="0"/>
        </ser>
        <ser>
          <idx val="2"/>
          <order val="2"/>
          <tx>
            <strRef>
              <f>'Grand Output'!G39</f>
            </strRef>
          </tx>
          <spPr>
            <a:ln xmlns:a="http://schemas.openxmlformats.org/drawingml/2006/main" w="22225">
              <a:solidFill>
                <a:srgbClr val="0000FF"/>
              </a:solidFill>
              <a:prstDash val="solid"/>
            </a:ln>
          </spPr>
          <marker>
            <symbol val="diamond"/>
            <size val="7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cat>
            <numRef>
              <f>'Grand Output'!$A$40:$A$45</f>
            </numRef>
          </cat>
          <val>
            <numRef>
              <f>'Grand Output'!$G$40:$G$45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100" b="1">
                    <a:latin typeface="Arial"/>
                  </a:defRPr>
                </a:pPr>
                <a:r>
                  <a:rPr sz="1100" b="1">
                    <a:latin typeface="Arial"/>
                  </a:rPr>
                  <a:t>Re (Reynolds Number)</a:t>
                </a:r>
              </a:p>
            </rich>
          </tx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000" b="0">
                <a:latin typeface="Arial"/>
              </a:defRPr>
            </a:pPr>
            <a:r>
              <a:t>None</a:t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100" b="1">
                    <a:latin typeface="Arial"/>
                  </a:defRPr>
                </a:pPr>
                <a:r>
                  <a:rPr sz="1100" b="1">
                    <a:latin typeface="Arial"/>
                  </a:rPr>
                  <a:t>Nu / Nuo</a:t>
                </a:r>
              </a:p>
            </rich>
          </tx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000" b="0">
                <a:latin typeface="Arial"/>
              </a:defRPr>
            </a:pPr>
            <a:r>
              <a:t>None</a:t>
            </a:r>
          </a:p>
        </txPr>
        <crossAx val="10"/>
      </valAx>
    </plotArea>
    <legend>
      <legendPos val="t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latin typeface="Arial"/>
              </a:defRPr>
            </a:pPr>
            <a:r>
              <a:rPr sz="1400" b="1">
                <a:latin typeface="Arial"/>
              </a:rPr>
              <a:t>Effect of Promoter Size Ratio on PEC</a:t>
            </a:r>
          </a:p>
        </rich>
      </tx>
    </title>
    <plotArea>
      <lineChart>
        <grouping val="standard"/>
        <ser>
          <idx val="0"/>
          <order val="0"/>
          <tx>
            <strRef>
              <f>'Grand Output'!H39</f>
            </strRef>
          </tx>
          <spPr>
            <a:ln xmlns:a="http://schemas.openxmlformats.org/drawingml/2006/main" w="22225">
              <a:solidFill>
                <a:srgbClr val="FF0000"/>
              </a:solidFill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cat>
            <numRef>
              <f>'Grand Output'!$A$40:$A$45</f>
            </numRef>
          </cat>
          <val>
            <numRef>
              <f>'Grand Output'!$H$40:$H$45</f>
            </numRef>
          </val>
          <smooth val="0"/>
        </ser>
        <ser>
          <idx val="1"/>
          <order val="1"/>
          <tx>
            <strRef>
              <f>'Grand Output'!I39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cat>
            <numRef>
              <f>'Grand Output'!$A$40:$A$45</f>
            </numRef>
          </cat>
          <val>
            <numRef>
              <f>'Grand Output'!$I$40:$I$45</f>
            </numRef>
          </val>
          <smooth val="0"/>
        </ser>
        <ser>
          <idx val="2"/>
          <order val="2"/>
          <tx>
            <strRef>
              <f>'Grand Output'!J39</f>
            </strRef>
          </tx>
          <spPr>
            <a:ln xmlns:a="http://schemas.openxmlformats.org/drawingml/2006/main" w="22225">
              <a:solidFill>
                <a:srgbClr val="0000FF"/>
              </a:solidFill>
              <a:prstDash val="solid"/>
            </a:ln>
          </spPr>
          <marker>
            <symbol val="diamond"/>
            <size val="7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cat>
            <numRef>
              <f>'Grand Output'!$A$40:$A$45</f>
            </numRef>
          </cat>
          <val>
            <numRef>
              <f>'Grand Output'!$J$40:$J$45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100" b="1">
                    <a:latin typeface="Arial"/>
                  </a:defRPr>
                </a:pPr>
                <a:r>
                  <a:rPr sz="1100" b="1">
                    <a:latin typeface="Arial"/>
                  </a:rPr>
                  <a:t>Re (Reynolds Number)</a:t>
                </a:r>
              </a:p>
            </rich>
          </tx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000" b="0">
                <a:latin typeface="Arial"/>
              </a:defRPr>
            </a:pPr>
            <a:r>
              <a:t>None</a:t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100" b="1">
                    <a:latin typeface="Arial"/>
                  </a:defRPr>
                </a:pPr>
                <a:r>
                  <a:rPr sz="1100" b="1">
                    <a:latin typeface="Arial"/>
                  </a:rPr>
                  <a:t>PEC</a:t>
                </a:r>
              </a:p>
            </rich>
          </tx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000" b="0">
                <a:latin typeface="Arial"/>
              </a:defRPr>
            </a:pPr>
            <a:r>
              <a:t>None</a:t>
            </a:r>
          </a:p>
        </txPr>
        <crossAx val="10"/>
      </valAx>
    </plotArea>
    <legend>
      <legendPos val="tr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latin typeface="Arial"/>
              </a:defRPr>
            </a:pPr>
            <a:r>
              <a:rPr sz="1400" b="1">
                <a:latin typeface="Arial"/>
              </a:rPr>
              <a:t>Effect of Wall Thickness Ratio on Friction Factor</a:t>
            </a:r>
          </a:p>
        </rich>
      </tx>
    </title>
    <plotArea>
      <lineChart>
        <grouping val="standard"/>
        <ser>
          <idx val="0"/>
          <order val="0"/>
          <tx>
            <strRef>
              <f>'Grand Output'!B52</f>
            </strRef>
          </tx>
          <spPr>
            <a:ln xmlns:a="http://schemas.openxmlformats.org/drawingml/2006/main" w="22225">
              <a:solidFill>
                <a:srgbClr val="FF0000"/>
              </a:solidFill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cat>
            <numRef>
              <f>'Grand Output'!$A$53:$A$58</f>
            </numRef>
          </cat>
          <val>
            <numRef>
              <f>'Grand Output'!$B$53:$B$58</f>
            </numRef>
          </val>
          <smooth val="0"/>
        </ser>
        <ser>
          <idx val="1"/>
          <order val="1"/>
          <tx>
            <strRef>
              <f>'Grand Output'!C52</f>
            </strRef>
          </tx>
          <spPr>
            <a:ln xmlns:a="http://schemas.openxmlformats.org/drawingml/2006/main" w="22225">
              <a:solidFill>
                <a:srgbClr val="0000FF"/>
              </a:solidFill>
              <a:prstDash val="solid"/>
            </a:ln>
          </spPr>
          <marker>
            <symbol val="diamond"/>
            <size val="7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cat>
            <numRef>
              <f>'Grand Output'!$A$53:$A$58</f>
            </numRef>
          </cat>
          <val>
            <numRef>
              <f>'Grand Output'!$C$53:$C$58</f>
            </numRef>
          </val>
          <smooth val="0"/>
        </ser>
        <ser>
          <idx val="2"/>
          <order val="2"/>
          <tx>
            <strRef>
              <f>'Grand Output'!D52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cat>
            <numRef>
              <f>'Grand Output'!$A$53:$A$58</f>
            </numRef>
          </cat>
          <val>
            <numRef>
              <f>'Grand Output'!$D$53:$D$58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100" b="1">
                    <a:latin typeface="Arial"/>
                  </a:defRPr>
                </a:pPr>
                <a:r>
                  <a:rPr sz="1100" b="1">
                    <a:latin typeface="Arial"/>
                  </a:rPr>
                  <a:t>Re (Reynolds Number)</a:t>
                </a:r>
              </a:p>
            </rich>
          </tx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000" b="0">
                <a:latin typeface="Arial"/>
              </a:defRPr>
            </a:pPr>
            <a:r>
              <a:t>None</a:t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100" b="1">
                    <a:latin typeface="Arial"/>
                  </a:defRPr>
                </a:pPr>
                <a:r>
                  <a:rPr sz="1100" b="1">
                    <a:latin typeface="Arial"/>
                  </a:rPr>
                  <a:t>f / fo</a:t>
                </a:r>
              </a:p>
            </rich>
          </tx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000" b="0">
                <a:latin typeface="Arial"/>
              </a:defRPr>
            </a:pPr>
            <a:r>
              <a:t>None</a:t>
            </a:r>
          </a:p>
        </txPr>
        <crossAx val="10"/>
      </valAx>
    </plotArea>
    <legend>
      <legendPos val="tr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latin typeface="Arial"/>
              </a:defRPr>
            </a:pPr>
            <a:r>
              <a:rPr sz="1400" b="1">
                <a:latin typeface="Arial"/>
              </a:rPr>
              <a:t>Effect of Wall Thickness Ratio on Nusselt Number</a:t>
            </a:r>
          </a:p>
        </rich>
      </tx>
    </title>
    <plotArea>
      <lineChart>
        <grouping val="standard"/>
        <ser>
          <idx val="0"/>
          <order val="0"/>
          <tx>
            <strRef>
              <f>'Grand Output'!E52</f>
            </strRef>
          </tx>
          <spPr>
            <a:ln xmlns:a="http://schemas.openxmlformats.org/drawingml/2006/main" w="22225">
              <a:solidFill>
                <a:srgbClr val="FF0000"/>
              </a:solidFill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cat>
            <numRef>
              <f>'Grand Output'!$A$53:$A$58</f>
            </numRef>
          </cat>
          <val>
            <numRef>
              <f>'Grand Output'!$E$53:$E$58</f>
            </numRef>
          </val>
          <smooth val="0"/>
        </ser>
        <ser>
          <idx val="1"/>
          <order val="1"/>
          <tx>
            <strRef>
              <f>'Grand Output'!F52</f>
            </strRef>
          </tx>
          <spPr>
            <a:ln xmlns:a="http://schemas.openxmlformats.org/drawingml/2006/main" w="22225">
              <a:solidFill>
                <a:srgbClr val="0000FF"/>
              </a:solidFill>
              <a:prstDash val="solid"/>
            </a:ln>
          </spPr>
          <marker>
            <symbol val="diamond"/>
            <size val="7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cat>
            <numRef>
              <f>'Grand Output'!$A$53:$A$58</f>
            </numRef>
          </cat>
          <val>
            <numRef>
              <f>'Grand Output'!$F$53:$F$58</f>
            </numRef>
          </val>
          <smooth val="0"/>
        </ser>
        <ser>
          <idx val="2"/>
          <order val="2"/>
          <tx>
            <strRef>
              <f>'Grand Output'!G52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cat>
            <numRef>
              <f>'Grand Output'!$A$53:$A$58</f>
            </numRef>
          </cat>
          <val>
            <numRef>
              <f>'Grand Output'!$G$53:$G$58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100" b="1">
                    <a:latin typeface="Arial"/>
                  </a:defRPr>
                </a:pPr>
                <a:r>
                  <a:rPr sz="1100" b="1">
                    <a:latin typeface="Arial"/>
                  </a:rPr>
                  <a:t>Re (Reynolds Number)</a:t>
                </a:r>
              </a:p>
            </rich>
          </tx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000" b="0">
                <a:latin typeface="Arial"/>
              </a:defRPr>
            </a:pPr>
            <a:r>
              <a:t>None</a:t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100" b="1">
                    <a:latin typeface="Arial"/>
                  </a:defRPr>
                </a:pPr>
                <a:r>
                  <a:rPr sz="1100" b="1">
                    <a:latin typeface="Arial"/>
                  </a:rPr>
                  <a:t>Nu / Nuo</a:t>
                </a:r>
              </a:p>
            </rich>
          </tx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000" b="0">
                <a:latin typeface="Arial"/>
              </a:defRPr>
            </a:pPr>
            <a:r>
              <a:t>None</a:t>
            </a:r>
          </a:p>
        </txPr>
        <crossAx val="10"/>
      </valAx>
    </plotArea>
    <legend>
      <legendPos val="tr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latin typeface="Arial"/>
              </a:defRPr>
            </a:pPr>
            <a:r>
              <a:rPr sz="1400" b="1">
                <a:latin typeface="Arial"/>
              </a:rPr>
              <a:t>Effect of Wall Thickness Ratio on PEC</a:t>
            </a:r>
          </a:p>
        </rich>
      </tx>
    </title>
    <plotArea>
      <lineChart>
        <grouping val="standard"/>
        <ser>
          <idx val="0"/>
          <order val="0"/>
          <tx>
            <strRef>
              <f>'Grand Output'!H52</f>
            </strRef>
          </tx>
          <spPr>
            <a:ln xmlns:a="http://schemas.openxmlformats.org/drawingml/2006/main" w="22225">
              <a:solidFill>
                <a:srgbClr val="FF0000"/>
              </a:solidFill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cat>
            <numRef>
              <f>'Grand Output'!$A$53:$A$58</f>
            </numRef>
          </cat>
          <val>
            <numRef>
              <f>'Grand Output'!$H$53:$H$58</f>
            </numRef>
          </val>
          <smooth val="0"/>
        </ser>
        <ser>
          <idx val="1"/>
          <order val="1"/>
          <tx>
            <strRef>
              <f>'Grand Output'!I52</f>
            </strRef>
          </tx>
          <spPr>
            <a:ln xmlns:a="http://schemas.openxmlformats.org/drawingml/2006/main" w="22225">
              <a:solidFill>
                <a:srgbClr val="0000FF"/>
              </a:solidFill>
              <a:prstDash val="solid"/>
            </a:ln>
          </spPr>
          <marker>
            <symbol val="diamond"/>
            <size val="7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cat>
            <numRef>
              <f>'Grand Output'!$A$53:$A$58</f>
            </numRef>
          </cat>
          <val>
            <numRef>
              <f>'Grand Output'!$I$53:$I$58</f>
            </numRef>
          </val>
          <smooth val="0"/>
        </ser>
        <ser>
          <idx val="2"/>
          <order val="2"/>
          <tx>
            <strRef>
              <f>'Grand Output'!J52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cat>
            <numRef>
              <f>'Grand Output'!$A$53:$A$58</f>
            </numRef>
          </cat>
          <val>
            <numRef>
              <f>'Grand Output'!$J$53:$J$58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100" b="1">
                    <a:latin typeface="Arial"/>
                  </a:defRPr>
                </a:pPr>
                <a:r>
                  <a:rPr sz="1100" b="1">
                    <a:latin typeface="Arial"/>
                  </a:rPr>
                  <a:t>Re (Reynolds Number)</a:t>
                </a:r>
              </a:p>
            </rich>
          </tx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000" b="0">
                <a:latin typeface="Arial"/>
              </a:defRPr>
            </a:pPr>
            <a:r>
              <a:t>None</a:t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100" b="1">
                    <a:latin typeface="Arial"/>
                  </a:defRPr>
                </a:pPr>
                <a:r>
                  <a:rPr sz="1100" b="1">
                    <a:latin typeface="Arial"/>
                  </a:rPr>
                  <a:t>PEC</a:t>
                </a:r>
              </a:p>
            </rich>
          </tx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000" b="0">
                <a:latin typeface="Arial"/>
              </a:defRPr>
            </a:pPr>
            <a:r>
              <a:t>None</a:t>
            </a:r>
          </a:p>
        </txPr>
        <crossAx val="10"/>
      </valAx>
    </plotArea>
    <legend>
      <legendPos val="t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0</col>
      <colOff>0</colOff>
      <row>63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80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97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114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131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148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4" customWidth="1" min="4" max="4"/>
    <col width="14" customWidth="1" min="5" max="5"/>
    <col width="36" customWidth="1" min="6" max="6"/>
  </cols>
  <sheetData>
    <row r="1" ht="22" customHeight="1">
      <c r="A1" s="1" t="inlineStr">
        <is>
          <t>PTSC Receiver — Geometry Screening Parameters (Reference)</t>
        </is>
      </c>
      <c r="B1" s="13" t="n"/>
      <c r="C1" s="13" t="n"/>
      <c r="D1" s="13" t="n"/>
      <c r="E1" s="13" t="n"/>
      <c r="F1" s="14" t="n"/>
    </row>
    <row r="2" ht="16" customHeight="1">
      <c r="A2" s="2" t="inlineStr">
        <is>
          <t>Fixed for every run: dto=70mm, dti=66mm, L=2000mm, fluid=Syltherm-800, T_in=500K</t>
        </is>
      </c>
      <c r="B2" s="13" t="n"/>
      <c r="C2" s="13" t="n"/>
      <c r="D2" s="13" t="n"/>
      <c r="E2" s="13" t="n"/>
      <c r="F2" s="14" t="n"/>
    </row>
    <row r="4" ht="18" customHeight="1">
      <c r="A4" s="3" t="inlineStr">
        <is>
          <t>Three parameters, shown as ratios (how they're screened)</t>
        </is>
      </c>
      <c r="B4" s="13" t="n"/>
      <c r="C4" s="13" t="n"/>
      <c r="D4" s="13" t="n"/>
      <c r="E4" s="13" t="n"/>
      <c r="F4" s="14" t="n"/>
    </row>
    <row r="5" ht="20" customHeight="1">
      <c r="A5" s="4" t="inlineStr">
        <is>
          <t>Parameter</t>
        </is>
      </c>
      <c r="B5" s="4" t="inlineStr">
        <is>
          <t>Ratio</t>
        </is>
      </c>
      <c r="C5" s="4" t="inlineStr">
        <is>
          <t>Level 1</t>
        </is>
      </c>
      <c r="D5" s="4" t="inlineStr">
        <is>
          <t>Level 2</t>
        </is>
      </c>
      <c r="E5" s="4" t="inlineStr">
        <is>
          <t>Level 3</t>
        </is>
      </c>
      <c r="F5" s="4" t="inlineStr">
        <is>
          <t>Meaning</t>
        </is>
      </c>
    </row>
    <row r="6" ht="42" customHeight="1">
      <c r="A6" s="5" t="inlineStr">
        <is>
          <t>Twist Pitch Ratio</t>
        </is>
      </c>
      <c r="B6" s="5" t="inlineStr">
        <is>
          <t>Pt / dti</t>
        </is>
      </c>
      <c r="C6" s="6" t="n">
        <v>3.0303</v>
      </c>
      <c r="D6" s="6" t="n">
        <v>4.5455</v>
      </c>
      <c r="E6" s="6" t="n">
        <v>6.0606</v>
      </c>
      <c r="F6" s="5" t="inlineStr">
        <is>
          <t>How tightly the square promoter is twisted along the tube. Screened in Stage 1 at dpo/dti = 0.23 (baseline), wall ratio = 0.07 (baseline). Winner: 200 mm (Pt/dti = 3.0303).</t>
        </is>
      </c>
    </row>
    <row r="7" ht="42" customHeight="1">
      <c r="A7" s="5" t="inlineStr">
        <is>
          <t>Promoter Size Ratio</t>
        </is>
      </c>
      <c r="B7" s="5" t="inlineStr">
        <is>
          <t>dpo / dti</t>
        </is>
      </c>
      <c r="C7" s="6" t="n">
        <v>0.15</v>
      </c>
      <c r="D7" s="6" t="n">
        <v>0.2</v>
      </c>
      <c r="E7" s="6" t="n">
        <v>0.25</v>
      </c>
      <c r="F7" s="5" t="inlineStr">
        <is>
          <t>How large the promoter is relative to the tube bore. Screened in Stage 2 at the winning Pt = 200 mm, wall ratio = 0.05 fixed. Winner (tentative): 0.25 — pending re-run of its diverged 15K Re case.</t>
        </is>
      </c>
    </row>
    <row r="8" ht="42" customHeight="1">
      <c r="A8" s="5" t="inlineStr">
        <is>
          <t>Wall Thickness Ratio</t>
        </is>
      </c>
      <c r="B8" s="5" t="inlineStr">
        <is>
          <t>tp / dpo</t>
        </is>
      </c>
      <c r="C8" s="6" t="n">
        <v>0.05</v>
      </c>
      <c r="D8" s="6" t="n">
        <v>0.1</v>
      </c>
      <c r="E8" s="6" t="n">
        <v>0.15</v>
      </c>
      <c r="F8" s="5" t="inlineStr">
        <is>
          <t>How thick the promoter's own wall is relative to its size. Screened in Stage 3 at Pt = 200 mm, dpo/dti = 0.25 (Stage 2 winner). The 0.05 level is reused from Stage 2 (same geometry) — 0.10 and 0.15 are new runs, now complete.</t>
        </is>
      </c>
    </row>
    <row r="10" ht="18" customHeight="1">
      <c r="A10" s="3" t="inlineStr">
        <is>
          <t>Same three parameters, shown as individual (absolute) values</t>
        </is>
      </c>
      <c r="B10" s="13" t="n"/>
      <c r="C10" s="13" t="n"/>
      <c r="D10" s="13" t="n"/>
      <c r="E10" s="13" t="n"/>
      <c r="F10" s="14" t="n"/>
    </row>
    <row r="11" ht="20" customHeight="1">
      <c r="A11" s="4" t="inlineStr">
        <is>
          <t>Parameter</t>
        </is>
      </c>
      <c r="B11" s="4" t="inlineStr">
        <is>
          <t>Symbol</t>
        </is>
      </c>
      <c r="C11" s="4" t="inlineStr">
        <is>
          <t>Level 1</t>
        </is>
      </c>
      <c r="D11" s="4" t="inlineStr">
        <is>
          <t>Level 2</t>
        </is>
      </c>
      <c r="E11" s="4" t="inlineStr">
        <is>
          <t>Level 3</t>
        </is>
      </c>
      <c r="F11" s="4" t="inlineStr">
        <is>
          <t>Units / note</t>
        </is>
      </c>
    </row>
    <row r="12" ht="42" customHeight="1">
      <c r="A12" s="5" t="inlineStr">
        <is>
          <t>Twist Pitch</t>
        </is>
      </c>
      <c r="B12" s="6" t="inlineStr">
        <is>
          <t>Pt</t>
        </is>
      </c>
      <c r="C12" s="6" t="inlineStr">
        <is>
          <t>200</t>
        </is>
      </c>
      <c r="D12" s="6" t="inlineStr">
        <is>
          <t>300</t>
        </is>
      </c>
      <c r="E12" s="6" t="inlineStr">
        <is>
          <t>400</t>
        </is>
      </c>
      <c r="F12" s="5" t="inlineStr">
        <is>
          <t>mm. Fixed at 200 mm (winner) from Stage 2 onward.</t>
        </is>
      </c>
    </row>
    <row r="13" ht="42" customHeight="1">
      <c r="A13" s="5" t="inlineStr">
        <is>
          <t>Promoter Outer Diameter</t>
        </is>
      </c>
      <c r="B13" s="6" t="inlineStr">
        <is>
          <t>dpo</t>
        </is>
      </c>
      <c r="C13" s="6" t="inlineStr">
        <is>
          <t>9.9</t>
        </is>
      </c>
      <c r="D13" s="6" t="inlineStr">
        <is>
          <t>13.2</t>
        </is>
      </c>
      <c r="E13" s="6" t="inlineStr">
        <is>
          <t>16.5</t>
        </is>
      </c>
      <c r="F13" s="5" t="inlineStr">
        <is>
          <t>mm. Values at wall ratio = 0.05 (Stage 2 condition). Fixed at 16.5 mm (0.25 winner) from Stage 3 onward.</t>
        </is>
      </c>
    </row>
    <row r="14" ht="42" customHeight="1">
      <c r="A14" s="5" t="inlineStr">
        <is>
          <t>Promoter Inner Diameter</t>
        </is>
      </c>
      <c r="B14" s="6" t="inlineStr">
        <is>
          <t>dpi</t>
        </is>
      </c>
      <c r="C14" s="6" t="inlineStr">
        <is>
          <t>8.91</t>
        </is>
      </c>
      <c r="D14" s="6" t="inlineStr">
        <is>
          <t>11.88</t>
        </is>
      </c>
      <c r="E14" s="6" t="inlineStr">
        <is>
          <t>14.85</t>
        </is>
      </c>
      <c r="F14" s="5" t="inlineStr">
        <is>
          <t>mm. dpi = dpo x (1 - 2 x wall ratio); shown here at wall ratio = 0.05. Stage 3 recomputes dpi at dpo = 16.5 mm for wall ratios 0.10 (13.2 mm) and 0.15 (11.55 mm).</t>
        </is>
      </c>
    </row>
    <row r="16" ht="85" customHeight="1">
      <c r="A16" s="7" t="inlineStr">
        <is>
          <t>Sequential (one-factor-at-a-time) screening, not a full factorial: Stage 1 fixed dpo/dti=0.23, wall ratio=0.07 (legacy baseline geometry, dpo=15 mm, dpi=12.9 mm) and swept Pt only -&gt; winner 200 mm. Stage 2 fixed Pt=200 mm, wall ratio=0.05 and swept dpo/dti -&gt; winner (tentative) 0.25, pending a re-run of its diverged 15K Re case. Stage 3 fixed Pt=200 mm, dpo/dti=0.25 and swept wall ratio (0.10, 0.15 new; 0.05 reused from Stage 2) -&gt; all runs now complete. 54 runs total: 6 baseline + 18 + 18 + 12, vs. 72 for the original full-factorial plan.</t>
        </is>
      </c>
      <c r="B16" s="13" t="n"/>
      <c r="C16" s="13" t="n"/>
      <c r="D16" s="13" t="n"/>
      <c r="E16" s="13" t="n"/>
      <c r="F16" s="14" t="n"/>
    </row>
    <row r="18" ht="20" customHeight="1">
      <c r="A18" s="15" t="inlineStr">
        <is>
          <t>Hybrid Nanofluid #1 — Fe2O3-GO/Syltherm-800 — FINAL, fully sourced (mirror-thesis methodology)</t>
        </is>
      </c>
      <c r="B18" s="13" t="n"/>
      <c r="C18" s="13" t="n"/>
      <c r="D18" s="13" t="n"/>
      <c r="E18" s="13" t="n"/>
      <c r="F18" s="14" t="n"/>
    </row>
    <row r="19" ht="45" customHeight="1">
      <c r="A19" s="7" t="inlineStr">
        <is>
          <t>Decision 2026-10-02: follow the MIRROR THESIS property model exactly (Maxwell conductivity + Brinkman viscosity), not the proposal’s shape-coefficient model. The one gap the mirror thesis left open (how to combine two particles into one "equivalent" conductivity, k_hnp) is now filled from a real, independently-read literature source. Every number below has a named, checkable source.</t>
        </is>
      </c>
      <c r="B19" s="13" t="n"/>
      <c r="C19" s="13" t="n"/>
      <c r="D19" s="13" t="n"/>
      <c r="E19" s="13" t="n"/>
      <c r="F19" s="14" t="n"/>
    </row>
    <row r="20">
      <c r="A20" s="19" t="n"/>
      <c r="B20" s="19" t="n"/>
      <c r="C20" s="19" t="n"/>
      <c r="D20" s="19" t="n"/>
      <c r="E20" s="19" t="n"/>
      <c r="F20" s="19" t="n"/>
    </row>
    <row r="21" ht="18" customHeight="1">
      <c r="A21" s="3" t="inlineStr">
        <is>
          <t>Step 1 — pure-substance properties</t>
        </is>
      </c>
      <c r="B21" s="13" t="n"/>
      <c r="C21" s="13" t="n"/>
      <c r="D21" s="13" t="n"/>
      <c r="E21" s="13" t="n"/>
      <c r="F21" s="14" t="n"/>
    </row>
    <row r="22">
      <c r="A22" s="4" t="inlineStr">
        <is>
          <t>Material</t>
        </is>
      </c>
      <c r="B22" s="4" t="inlineStr">
        <is>
          <t>rho (kg/m3)</t>
        </is>
      </c>
      <c r="C22" s="4" t="inlineStr">
        <is>
          <t>Cp (J/kg-K)</t>
        </is>
      </c>
      <c r="D22" s="4" t="inlineStr">
        <is>
          <t>k (W/m-K)</t>
        </is>
      </c>
      <c r="E22" s="4" t="inlineStr">
        <is>
          <t>mu (Pa-s)</t>
        </is>
      </c>
      <c r="F22" s="4" t="inlineStr">
        <is>
          <t>Source</t>
        </is>
      </c>
    </row>
    <row r="23" ht="32" customHeight="1">
      <c r="A23" s="5" t="inlineStr">
        <is>
          <t>Syltherm-800 (base fluid)</t>
        </is>
      </c>
      <c r="B23" s="16" t="n">
        <v>747.2</v>
      </c>
      <c r="C23" s="16" t="n">
        <v>1962</v>
      </c>
      <c r="D23" s="16" t="n">
        <v>0.0961</v>
      </c>
      <c r="E23" s="16" t="n">
        <v>0.00084</v>
      </c>
      <c r="F23" s="5" t="inlineStr">
        <is>
          <t>Mirror thesis Table 4-2, p.104 = Proposal_Last.pdf Table 14, p.49 (identical values, both documents agree)</t>
        </is>
      </c>
    </row>
    <row r="24" ht="32" customHeight="1">
      <c r="A24" s="5" t="inlineStr">
        <is>
          <t>Fe2O3</t>
        </is>
      </c>
      <c r="B24" s="16" t="n">
        <v>5180</v>
      </c>
      <c r="C24" s="16" t="n">
        <v>670</v>
      </c>
      <c r="D24" s="16" t="n">
        <v>6.9</v>
      </c>
      <c r="E24" s="16" t="inlineStr">
        <is>
          <t>—</t>
        </is>
      </c>
      <c r="F24" s="5" t="inlineStr">
        <is>
          <t>Mirror thesis Table 4-2, p.104 = Proposal_Last.pdf Table 14, p.49 (identical values)</t>
        </is>
      </c>
    </row>
    <row r="25" ht="32" customHeight="1">
      <c r="A25" s="5" t="inlineStr">
        <is>
          <t>GO (graphene oxide)</t>
        </is>
      </c>
      <c r="B25" s="16" t="n">
        <v>1800</v>
      </c>
      <c r="C25" s="16" t="n">
        <v>717</v>
      </c>
      <c r="D25" s="16" t="n">
        <v>5000</v>
      </c>
      <c r="E25" s="16" t="inlineStr">
        <is>
          <t>—</t>
        </is>
      </c>
      <c r="F25" s="5" t="inlineStr">
        <is>
          <t>Mirror thesis Table 4-2, p.104 = Proposal_Last.pdf Table 14, p.49 (identical values)</t>
        </is>
      </c>
    </row>
    <row r="26">
      <c r="A26" s="19" t="n"/>
      <c r="B26" s="19" t="n"/>
      <c r="C26" s="19" t="n"/>
      <c r="D26" s="19" t="n"/>
      <c r="E26" s="19" t="n"/>
      <c r="F26" s="19" t="n"/>
    </row>
    <row r="27" ht="18" customHeight="1">
      <c r="A27" s="3" t="inlineStr">
        <is>
          <t>Step 2 — concentration and split</t>
        </is>
      </c>
      <c r="B27" s="13" t="n"/>
      <c r="C27" s="13" t="n"/>
      <c r="D27" s="13" t="n"/>
      <c r="E27" s="13" t="n"/>
      <c r="F27" s="14" t="n"/>
    </row>
    <row r="28">
      <c r="A28" s="4" t="inlineStr">
        <is>
          <t>Concept</t>
        </is>
      </c>
      <c r="B28" s="4" t="inlineStr">
        <is>
          <t>Symbol</t>
        </is>
      </c>
      <c r="C28" s="4" t="inlineStr">
        <is>
          <t>Value used</t>
        </is>
      </c>
      <c r="D28" s="4" t="inlineStr">
        <is>
          <t>Source</t>
        </is>
      </c>
      <c r="E28" s="19" t="n"/>
      <c r="F28" s="19" t="n"/>
    </row>
    <row r="29" ht="28" customHeight="1">
      <c r="A29" s="5" t="inlineStr">
        <is>
          <t>Total concentration</t>
        </is>
      </c>
      <c r="B29" s="16" t="inlineStr">
        <is>
          <t>phi</t>
        </is>
      </c>
      <c r="C29" s="16" t="inlineStr">
        <is>
          <t>0.02 (2%)</t>
        </is>
      </c>
      <c r="D29" s="5" t="inlineStr">
        <is>
          <t>Your chosen production value — not fixed by either source document</t>
        </is>
      </c>
      <c r="E29" s="19" t="n"/>
      <c r="F29" s="19" t="n"/>
    </row>
    <row r="30" ht="28" customHeight="1">
      <c r="A30" s="5" t="inlineStr">
        <is>
          <t>Fe2O3 share</t>
        </is>
      </c>
      <c r="B30" s="16" t="inlineStr">
        <is>
          <t>phi_p1</t>
        </is>
      </c>
      <c r="C30" s="16" t="inlineStr">
        <is>
          <t>0.01</t>
        </is>
      </c>
      <c r="D30" s="5" t="inlineStr">
        <is>
          <t>Half of phi (see split below)</t>
        </is>
      </c>
      <c r="E30" s="19" t="n"/>
      <c r="F30" s="19" t="n"/>
    </row>
    <row r="31" ht="28" customHeight="1">
      <c r="A31" s="5" t="inlineStr">
        <is>
          <t>GO share</t>
        </is>
      </c>
      <c r="B31" s="16" t="inlineStr">
        <is>
          <t>phi_p2</t>
        </is>
      </c>
      <c r="C31" s="16" t="inlineStr">
        <is>
          <t>0.01</t>
        </is>
      </c>
      <c r="D31" s="5" t="inlineStr">
        <is>
          <t>Half of phi (see split below)</t>
        </is>
      </c>
      <c r="E31" s="19" t="n"/>
      <c r="F31" s="19" t="n"/>
    </row>
    <row r="32" ht="28" customHeight="1">
      <c r="A32" s="5" t="inlineStr">
        <is>
          <t>Split phi_p1 : phi_p2</t>
        </is>
      </c>
      <c r="B32" s="16" t="inlineStr">
        <is>
          <t>—</t>
        </is>
      </c>
      <c r="C32" s="16" t="inlineStr">
        <is>
          <t>50 : 50</t>
        </is>
      </c>
      <c r="D32" s="5" t="inlineStr">
        <is>
          <t>NOT stated in mirror thesis or Proposal_Last.pdf — decided by you 2026-10-02. Declare as an explicit assumption in your methodology chapter.</t>
        </is>
      </c>
      <c r="E32" s="19" t="n"/>
      <c r="F32" s="19" t="n"/>
    </row>
    <row r="33">
      <c r="A33" s="19" t="n"/>
      <c r="B33" s="19" t="n"/>
      <c r="C33" s="19" t="n"/>
      <c r="D33" s="19" t="n"/>
      <c r="E33" s="19" t="n"/>
      <c r="F33" s="19" t="n"/>
    </row>
    <row r="34" ht="18" customHeight="1">
      <c r="A34" s="3" t="inlineStr">
        <is>
          <t>Step 3 — equations (mirror-thesis methodology, gap now filled)</t>
        </is>
      </c>
      <c r="B34" s="13" t="n"/>
      <c r="C34" s="13" t="n"/>
      <c r="D34" s="13" t="n"/>
      <c r="E34" s="13" t="n"/>
      <c r="F34" s="14" t="n"/>
    </row>
    <row r="35">
      <c r="A35" s="4" t="inlineStr">
        <is>
          <t>Property</t>
        </is>
      </c>
      <c r="B35" s="4" t="inlineStr">
        <is>
          <t>Equation</t>
        </is>
      </c>
      <c r="C35" s="13" t="n"/>
      <c r="D35" s="14" t="n"/>
      <c r="E35" s="4" t="inlineStr">
        <is>
          <t>Source</t>
        </is>
      </c>
      <c r="F35" s="14" t="n"/>
    </row>
    <row r="36" ht="46" customHeight="1">
      <c r="A36" s="5" t="inlineStr">
        <is>
          <t>Density</t>
        </is>
      </c>
      <c r="B36" s="5" t="inlineStr">
        <is>
          <t>rho_hnf = (1-phi)*rho_bf + phi_p1*rho_p1 + phi_p2*rho_p2</t>
        </is>
      </c>
      <c r="C36" s="13" t="n"/>
      <c r="D36" s="14" t="n"/>
      <c r="E36" s="5" t="inlineStr">
        <is>
          <t>Mirror thesis Eq 3.37, p.78 = Proposal_Last.pdf Eq 3.26, p.49 (identical)</t>
        </is>
      </c>
      <c r="F36" s="14" t="n"/>
    </row>
    <row r="37" ht="46" customHeight="1">
      <c r="A37" s="5" t="inlineStr">
        <is>
          <t>Specific heat</t>
        </is>
      </c>
      <c r="B37" s="5" t="inlineStr">
        <is>
          <t>Cp_hnf = [(1-phi)*rho_bf*Cp_bf + phi_p1*rho_p1*Cp1 + phi_p2*rho_p2*Cp2] / rho_hnf</t>
        </is>
      </c>
      <c r="C37" s="13" t="n"/>
      <c r="D37" s="14" t="n"/>
      <c r="E37" s="5" t="inlineStr">
        <is>
          <t>Mirror thesis Eq 3.38, p.78 = Proposal_Last.pdf Eq 3.27, p.49 (identical)</t>
        </is>
      </c>
      <c r="F37" s="14" t="n"/>
    </row>
    <row r="38" ht="46" customHeight="1">
      <c r="A38" s="5" t="inlineStr">
        <is>
          <t>Equivalent particle conductivity (k_hnp)</t>
        </is>
      </c>
      <c r="B38" s="5" t="inlineStr">
        <is>
          <t>k_hnp = (phi_p1*kp1 + phi_p2*kp2) / (phi_p1 + phi_p2)</t>
        </is>
      </c>
      <c r="C38" s="13" t="n"/>
      <c r="D38" s="14" t="n"/>
      <c r="E38" s="5" t="inlineStr">
        <is>
          <t>Chamkha et al., as presented in: review paper "Hybrid Nanofluid Thermal Conductivity and Optimization: Original Approach and Background", Nanomaterials 2022, 12, 2847, Section 2.6, p.27 (stated in prose + Eq 45). Fills the gap the mirror thesis left undefined for k_hnp.</t>
        </is>
      </c>
      <c r="F38" s="14" t="n"/>
    </row>
    <row r="39" ht="46" customHeight="1">
      <c r="A39" s="5" t="inlineStr">
        <is>
          <t>Thermal conductivity</t>
        </is>
      </c>
      <c r="B39" s="5" t="inlineStr">
        <is>
          <t>k_hnf = k_bf*(k_hnp+2k_bf-2*phi*(k_bf-k_hnp)) / (k_hnp+2k_bf+phi*(k_bf-k_hnp))  [Maxwell]</t>
        </is>
      </c>
      <c r="C39" s="13" t="n"/>
      <c r="D39" s="14" t="n"/>
      <c r="E39" s="5" t="inlineStr">
        <is>
          <t>Mirror thesis Eq 3.40, p.79, using k_hnp from the row above. Verified: reduces correctly to k_bf at phi=0.</t>
        </is>
      </c>
      <c r="F39" s="14" t="n"/>
    </row>
    <row r="40" ht="46" customHeight="1">
      <c r="A40" s="5" t="inlineStr">
        <is>
          <t>Viscosity</t>
        </is>
      </c>
      <c r="B40" s="5" t="inlineStr">
        <is>
          <t>mu_hnf = mu_bf * (1-phi)^-2.5  [Brinkman]</t>
        </is>
      </c>
      <c r="C40" s="13" t="n"/>
      <c r="D40" s="14" t="n"/>
      <c r="E40" s="5" t="inlineStr">
        <is>
          <t>Mirror thesis Eq 3.41, p.79. Verified: reduces correctly to mu_bf at phi=0. Brinkman is a mono-nanofluid model being applied with total phi — the mirror thesis’s own simplification for hybrids, not independently validated by a dedicated hybrid-viscosity source.</t>
        </is>
      </c>
      <c r="F40" s="14" t="n"/>
    </row>
    <row r="41" ht="18" customHeight="1">
      <c r="A41" s="20" t="n"/>
      <c r="B41" s="19" t="n"/>
      <c r="C41" s="19" t="n"/>
      <c r="D41" s="19" t="n"/>
      <c r="E41" s="19" t="n"/>
      <c r="F41" s="19" t="n"/>
    </row>
    <row r="42" ht="18" customHeight="1">
      <c r="A42" s="3" t="inlineStr">
        <is>
          <t>Step 4 — worked example at phi=2%, 50:50 split, T_in=500K — ready to type into Fluent</t>
        </is>
      </c>
      <c r="B42" s="13" t="n"/>
      <c r="C42" s="13" t="n"/>
      <c r="D42" s="13" t="n"/>
      <c r="E42" s="13" t="n"/>
      <c r="F42" s="14" t="n"/>
    </row>
    <row r="43" ht="22" customHeight="1">
      <c r="A43" s="4" t="inlineStr">
        <is>
          <t>Property</t>
        </is>
      </c>
      <c r="B43" s="4" t="inlineStr">
        <is>
          <t>Value</t>
        </is>
      </c>
      <c r="C43" s="4" t="inlineStr">
        <is>
          <t>Unit</t>
        </is>
      </c>
      <c r="D43" s="4" t="inlineStr">
        <is>
          <t>Sanity check at phi=0</t>
        </is>
      </c>
      <c r="E43" s="19" t="n"/>
      <c r="F43" s="19" t="n"/>
    </row>
    <row r="44" ht="22" customHeight="1">
      <c r="A44" s="9" t="inlineStr">
        <is>
          <t>Density, rho_hnf</t>
        </is>
      </c>
      <c r="B44" s="21" t="n">
        <v>802.0599999999999</v>
      </c>
      <c r="C44" s="21" t="inlineStr">
        <is>
          <t>kg/m3</t>
        </is>
      </c>
      <c r="D44" s="9" t="inlineStr">
        <is>
          <t>Passes — reduces to rho_bf</t>
        </is>
      </c>
      <c r="E44" s="19" t="n"/>
      <c r="F44" s="19" t="n"/>
    </row>
    <row r="45" ht="22" customHeight="1">
      <c r="A45" s="9" t="inlineStr">
        <is>
          <t>Specific heat, Cp_hnf</t>
        </is>
      </c>
      <c r="B45" s="21" t="n">
        <v>1850.62</v>
      </c>
      <c r="C45" s="21" t="inlineStr">
        <is>
          <t>J/kg-K</t>
        </is>
      </c>
      <c r="D45" s="9" t="inlineStr">
        <is>
          <t>Passes — reduces to Cp_bf</t>
        </is>
      </c>
      <c r="E45" s="19" t="n"/>
      <c r="F45" s="19" t="n"/>
    </row>
    <row r="46" ht="22" customHeight="1">
      <c r="A46" s="9" t="inlineStr">
        <is>
          <t>Equivalent conductivity, k_hnp</t>
        </is>
      </c>
      <c r="B46" s="21" t="n">
        <v>2503.45</v>
      </c>
      <c r="C46" s="21" t="inlineStr">
        <is>
          <t>W/m-K</t>
        </is>
      </c>
      <c r="D46" s="9" t="inlineStr">
        <is>
          <t>n/a — intermediate value</t>
        </is>
      </c>
      <c r="E46" s="19" t="n"/>
      <c r="F46" s="19" t="n"/>
    </row>
    <row r="47" ht="22" customHeight="1">
      <c r="A47" s="9" t="inlineStr">
        <is>
          <t>Thermal conductivity, k_hnf</t>
        </is>
      </c>
      <c r="B47" s="21" t="n">
        <v>0.10198</v>
      </c>
      <c r="C47" s="21" t="inlineStr">
        <is>
          <t>W/m-K</t>
        </is>
      </c>
      <c r="D47" s="9" t="inlineStr">
        <is>
          <t>Passes — verified = 0.0961 at phi=0</t>
        </is>
      </c>
      <c r="E47" s="19" t="n"/>
      <c r="F47" s="19" t="n"/>
    </row>
    <row r="48" ht="22" customHeight="1">
      <c r="A48" s="9" t="inlineStr">
        <is>
          <t>Viscosity, mu_hnf</t>
        </is>
      </c>
      <c r="B48" s="21" t="n">
        <v>0.0008835</v>
      </c>
      <c r="C48" s="21" t="inlineStr">
        <is>
          <t>Pa-s</t>
        </is>
      </c>
      <c r="D48" s="9" t="inlineStr">
        <is>
          <t>Passes — verified = 0.00084 at phi=0</t>
        </is>
      </c>
      <c r="E48" s="19" t="n"/>
      <c r="F48" s="19" t="n"/>
    </row>
    <row r="49" ht="40" customHeight="1">
      <c r="A49" s="22" t="n"/>
      <c r="B49" s="19" t="n"/>
      <c r="C49" s="19" t="n"/>
      <c r="D49" s="19" t="n"/>
      <c r="E49" s="19" t="n"/>
      <c r="F49" s="19" t="n"/>
    </row>
    <row r="50" ht="40" customHeight="1">
      <c r="A50" s="23" t="inlineStr">
        <is>
          <t>GREEN LIGHT: all four properties for Fe2O3-GO at phi=2%, 50:50 split are now fully sourced (named document + page/equation/section for every number) and pass the phi=0 sanity check. No open equation gaps remain for this nanofluid. Safe to enter these 4 numbers into Fluent as a new constant-property material.</t>
        </is>
      </c>
      <c r="B50" s="13" t="n"/>
      <c r="C50" s="13" t="n"/>
      <c r="D50" s="13" t="n"/>
      <c r="E50" s="13" t="n"/>
      <c r="F50" s="14" t="n"/>
    </row>
    <row r="51" ht="40" customHeight="1">
      <c r="A51" s="7" t="inlineStr">
        <is>
          <t>Still an assumption, not a gap: the 50:50 split is a decision, not a literature value — state it explicitly in your methodology chapter. Also an inherited simplification, not an error: applying Brinkman (a mono-particle model) with total phi for a hybrid is the mirror thesis’s own choice — no paper found that validates or disputes this specifically for hybrids.</t>
        </is>
      </c>
      <c r="B51" s="13" t="n"/>
      <c r="C51" s="13" t="n"/>
      <c r="D51" s="13" t="n"/>
      <c r="E51" s="13" t="n"/>
      <c r="F51" s="14" t="n"/>
    </row>
    <row r="52" ht="40" customHeight="1">
      <c r="A52" s="7" t="inlineStr">
        <is>
          <t>Fluent setup: do NOT edit syltherm800_oil in place. Copy it, rename the copy (e.g. "Fe2O3GO_phi2_5050"), switch Density/Cp/Thermal Conductivity/Viscosity from Polynomial to Constant, and enter the 4 highlighted values above. Keep the original syltherm800_oil untouched — needed as the baseline reference for every PEC/Nu0/f0 comparison.</t>
        </is>
      </c>
      <c r="B52" s="13" t="n"/>
      <c r="C52" s="13" t="n"/>
      <c r="D52" s="13" t="n"/>
      <c r="E52" s="13" t="n"/>
      <c r="F52" s="14" t="n"/>
    </row>
    <row r="53" ht="30" customHeight="1">
      <c r="A53" s="7" t="inlineStr">
        <is>
          <t>UPDATE 2026-10-07: Al2O3-MWCNT and Ag-MgO are now data-complete too — see the two sections below. Same mirror-thesis equations as Hybrid Nanofluid #1 above (density/Cp mixing, Maxwell k_hnp, Brinkman viscosity); only the pure-substance inputs differ.</t>
        </is>
      </c>
      <c r="B53" s="7" t="n"/>
      <c r="C53" s="7" t="n"/>
      <c r="D53" s="7" t="n"/>
      <c r="E53" s="7" t="n"/>
      <c r="F53" s="7" t="n"/>
    </row>
    <row r="55" ht="20" customHeight="1">
      <c r="A55" s="15" t="inlineStr">
        <is>
          <t>Hybrid Nanofluid #2 — Al2O3-MWCNT/Syltherm-800 — FINAL, fully sourced (same equations as Hybrid Nanofluid #1)</t>
        </is>
      </c>
      <c r="B55" s="15" t="n"/>
      <c r="C55" s="15" t="n"/>
      <c r="D55" s="15" t="n"/>
      <c r="E55" s="15" t="n"/>
      <c r="F55" s="15" t="n"/>
    </row>
    <row r="56" ht="60" customHeight="1">
      <c r="A56" s="7" t="inlineStr">
        <is>
          <t>Deep web search 2026-10-06/07 across independent sources (not the mirror thesis, which cites no reference for these two). Al2O3 rho/Cp/k are essentially universal in nanofluid literature (matches mirror exactly). MWCNT rho/Cp cross-checked across 2+ independent sources. ONE OPEN FLAG: k_MWCNT=3000 W/m-K is the individual-tube / nanofluid-CFD-convention value used in virtually every published Al2O3-MWCNT hybrid paper — real bulk/bundled MWCNT measures far lower (~200 W/m-K in solid-state physics literature). Using 3000 matches the body of work this thesis is consistent with; flagged here so it is a documented choice, not a hidden assumption.</t>
        </is>
      </c>
      <c r="B56" s="7" t="n"/>
      <c r="C56" s="7" t="n"/>
      <c r="D56" s="7" t="n"/>
      <c r="E56" s="7" t="n"/>
      <c r="F56" s="7" t="n"/>
    </row>
    <row r="58" ht="18" customHeight="1">
      <c r="A58" s="3" t="inlineStr">
        <is>
          <t>Step 1 — pure-substance properties</t>
        </is>
      </c>
      <c r="B58" s="3" t="n"/>
      <c r="C58" s="3" t="n"/>
      <c r="D58" s="3" t="n"/>
      <c r="E58" s="3" t="n"/>
      <c r="F58" s="3" t="n"/>
    </row>
    <row r="59">
      <c r="A59" s="4" t="inlineStr">
        <is>
          <t>Material</t>
        </is>
      </c>
      <c r="B59" s="4" t="inlineStr">
        <is>
          <t>rho (kg/m3)</t>
        </is>
      </c>
      <c r="C59" s="4" t="inlineStr">
        <is>
          <t>Cp (J/kg-K)</t>
        </is>
      </c>
      <c r="D59" s="4" t="inlineStr">
        <is>
          <t>k (W/m-K)</t>
        </is>
      </c>
      <c r="E59" s="4" t="inlineStr">
        <is>
          <t>mu (Pa-s)</t>
        </is>
      </c>
      <c r="F59" s="4" t="inlineStr">
        <is>
          <t>Source</t>
        </is>
      </c>
    </row>
    <row r="60" ht="32" customHeight="1">
      <c r="A60" s="5" t="inlineStr">
        <is>
          <t>Syltherm-800 (base fluid)</t>
        </is>
      </c>
      <c r="B60" s="5" t="n">
        <v>747.2</v>
      </c>
      <c r="C60" s="5" t="n">
        <v>1962</v>
      </c>
      <c r="D60" s="5" t="n">
        <v>0.0961</v>
      </c>
      <c r="E60" s="5" t="n">
        <v>0.00084</v>
      </c>
      <c r="F60" s="5" t="inlineStr">
        <is>
          <t>Mirror thesis Table 4-2, p.104 = Proposal_Last.pdf Table 14, p.49 (identical)</t>
        </is>
      </c>
    </row>
    <row r="61" ht="44" customHeight="1">
      <c r="A61" s="5" t="inlineStr">
        <is>
          <t>Al2O3</t>
        </is>
      </c>
      <c r="B61" s="5" t="n">
        <v>3970</v>
      </c>
      <c r="C61" s="5" t="n">
        <v>765</v>
      </c>
      <c r="D61" s="5" t="n">
        <v>40</v>
      </c>
      <c r="E61" s="5" t="inlineStr">
        <is>
          <t>—</t>
        </is>
      </c>
      <c r="F61" s="5" t="inlineStr">
        <is>
          <t>Cross-checked 2026-10-07: matches mirror thesis exactly AND the standard value used across nanofluid-CFD literature (e.g. comparative nanoparticle-property studies); essentially undisputed.</t>
        </is>
      </c>
    </row>
    <row r="62" ht="58" customHeight="1">
      <c r="A62" s="5" t="inlineStr">
        <is>
          <t>MWCNT</t>
        </is>
      </c>
      <c r="B62" s="5" t="n">
        <v>2100</v>
      </c>
      <c r="C62" s="5" t="n">
        <v>796</v>
      </c>
      <c r="D62" s="5" t="n">
        <v>3000</v>
      </c>
      <c r="E62" s="5" t="inlineStr">
        <is>
          <t>—</t>
        </is>
      </c>
      <c r="F62" s="5" t="inlineStr">
        <is>
          <t>Cross-checked 2026-10-07 across independent sources: rho=2100 kg/m3 (true/packed density, consistent); Cp=796 J/kg-K (recurs independently in 2+ property tables); k=3000 W/m-K = individual-tube ballistic value, the field-convention input for hybrid-nanofluid mixing models (bulk bundle k~200 W/m-K is the alternate, more conservative physics value — see flag above).</t>
        </is>
      </c>
    </row>
    <row r="64" ht="18" customHeight="1">
      <c r="A64" s="3" t="inlineStr">
        <is>
          <t>Step 2 — worked example at phi=2%, 50:50 split, T_in=500K — ready to type into Fluent (equations: see Hybrid #1, Step 3 above)</t>
        </is>
      </c>
      <c r="B64" s="3" t="n"/>
      <c r="C64" s="3" t="n"/>
      <c r="D64" s="3" t="n"/>
      <c r="E64" s="3" t="n"/>
      <c r="F64" s="3" t="n"/>
    </row>
    <row r="65">
      <c r="A65" s="4" t="inlineStr">
        <is>
          <t>Property</t>
        </is>
      </c>
      <c r="B65" s="4" t="inlineStr">
        <is>
          <t>Value</t>
        </is>
      </c>
      <c r="C65" s="4" t="inlineStr">
        <is>
          <t>Unit</t>
        </is>
      </c>
      <c r="D65" s="4" t="inlineStr">
        <is>
          <t>Sanity check at phi=0</t>
        </is>
      </c>
    </row>
    <row r="66">
      <c r="A66" s="9" t="inlineStr">
        <is>
          <t>Density, rho_hnf</t>
        </is>
      </c>
      <c r="B66" s="9" t="n">
        <v>792.96</v>
      </c>
      <c r="C66" s="9" t="inlineStr">
        <is>
          <t>kg/m3</t>
        </is>
      </c>
      <c r="D66" s="9" t="inlineStr">
        <is>
          <t>Passes — reduces to rho_bf</t>
        </is>
      </c>
    </row>
    <row r="67">
      <c r="A67" s="9" t="inlineStr">
        <is>
          <t>Specific heat, Cp_hnf</t>
        </is>
      </c>
      <c r="B67" s="9" t="n">
        <v>1871.19</v>
      </c>
      <c r="C67" s="9" t="inlineStr">
        <is>
          <t>J/kg-K</t>
        </is>
      </c>
      <c r="D67" s="9" t="inlineStr">
        <is>
          <t>Passes — reduces to Cp_bf</t>
        </is>
      </c>
    </row>
    <row r="68">
      <c r="A68" s="9" t="inlineStr">
        <is>
          <t>Equivalent conductivity, k_hnp</t>
        </is>
      </c>
      <c r="B68" s="9" t="n">
        <v>1520</v>
      </c>
      <c r="C68" s="9" t="inlineStr">
        <is>
          <t>W/m-K</t>
        </is>
      </c>
      <c r="D68" s="9" t="inlineStr">
        <is>
          <t>n/a — intermediate value</t>
        </is>
      </c>
    </row>
    <row r="69">
      <c r="A69" s="9" t="inlineStr">
        <is>
          <t>Thermal conductivity, k_hnf</t>
        </is>
      </c>
      <c r="B69" s="9" t="n">
        <v>0.10198</v>
      </c>
      <c r="C69" s="9" t="inlineStr">
        <is>
          <t>W/m-K</t>
        </is>
      </c>
      <c r="D69" s="9" t="inlineStr">
        <is>
          <t>Passes — verified = 0.0961 at phi=0</t>
        </is>
      </c>
    </row>
    <row r="70">
      <c r="A70" s="9" t="inlineStr">
        <is>
          <t>Viscosity, mu_hnf</t>
        </is>
      </c>
      <c r="B70" s="9" t="n">
        <v>0.0008835</v>
      </c>
      <c r="C70" s="9" t="inlineStr">
        <is>
          <t>Pa-s</t>
        </is>
      </c>
      <c r="D70" s="9" t="inlineStr">
        <is>
          <t>Passes — verified = 0.00084 at phi=0</t>
        </is>
      </c>
    </row>
    <row r="72" ht="42" customHeight="1">
      <c r="A72" s="23" t="inlineStr">
        <is>
          <t>GREEN LIGHT (with one flagged convention): all four properties sourced and pass the phi=0 sanity check. k_hnf and mu_hnf come out numerically identical to Fe2O3-GO's — this is a real model property (Maxwell saturates once particle k &gt;&gt; base-fluid k; Brinkman ignores particle identity entirely), not a calculation error.</t>
        </is>
      </c>
      <c r="B72" s="23" t="n"/>
      <c r="C72" s="23" t="n"/>
      <c r="D72" s="23" t="n"/>
      <c r="E72" s="23" t="n"/>
      <c r="F72" s="23" t="n"/>
    </row>
    <row r="73" ht="30" customHeight="1">
      <c r="A73" s="7" t="inlineStr">
        <is>
          <t>Fluent setup: copy syltherm800_oil, rename (e.g. "Al2O3MWCNT_phi2_5050"), switch the 4 properties to Constant, enter the values above. Do not edit the original.</t>
        </is>
      </c>
      <c r="B73" s="7" t="n"/>
      <c r="C73" s="7" t="n"/>
      <c r="D73" s="7" t="n"/>
      <c r="E73" s="7" t="n"/>
      <c r="F73" s="7" t="n"/>
    </row>
    <row r="75" ht="20" customHeight="1">
      <c r="A75" s="15" t="inlineStr">
        <is>
          <t>Hybrid Nanofluid #3 — Ag-MgO/Syltherm-800 — FINAL, fully sourced (same equations as Hybrid Nanofluid #1)</t>
        </is>
      </c>
      <c r="B75" s="15" t="n"/>
      <c r="C75" s="15" t="n"/>
      <c r="D75" s="15" t="n"/>
      <c r="E75" s="15" t="n"/>
      <c r="F75" s="15" t="n"/>
    </row>
    <row r="76" ht="58" customHeight="1">
      <c r="A76" s="7" t="inlineStr">
        <is>
          <t>Deep web search 2026-10-06/07. Ag rho/Cp/k are standard metal constants, fully settled, no disagreement anywhere. MgO rho=3580 kg/m3 is consistent everywhere (mineral/periclase density). ONE OPEN FLAG: MgO Cp/k used here (955 J/kg-K, 45 W/m-K) come from Ag-MgO-specific hybrid-nanofluid literature and sit close to general ceramic-handbook values; a second published convention also exists (879 J/kg-K, 30 W/m-K) from other Ag-MgO papers — a modest spread (&lt;10% Cp, 1.5x k), documented not hidden.</t>
        </is>
      </c>
      <c r="B76" s="7" t="n"/>
      <c r="C76" s="7" t="n"/>
      <c r="D76" s="7" t="n"/>
      <c r="E76" s="7" t="n"/>
      <c r="F76" s="7" t="n"/>
    </row>
    <row r="78" ht="18" customHeight="1">
      <c r="A78" s="3" t="inlineStr">
        <is>
          <t>Step 1 — pure-substance properties</t>
        </is>
      </c>
      <c r="B78" s="3" t="n"/>
      <c r="C78" s="3" t="n"/>
      <c r="D78" s="3" t="n"/>
      <c r="E78" s="3" t="n"/>
      <c r="F78" s="3" t="n"/>
    </row>
    <row r="79">
      <c r="A79" s="4" t="inlineStr">
        <is>
          <t>Material</t>
        </is>
      </c>
      <c r="B79" s="4" t="inlineStr">
        <is>
          <t>rho (kg/m3)</t>
        </is>
      </c>
      <c r="C79" s="4" t="inlineStr">
        <is>
          <t>Cp (J/kg-K)</t>
        </is>
      </c>
      <c r="D79" s="4" t="inlineStr">
        <is>
          <t>k (W/m-K)</t>
        </is>
      </c>
      <c r="E79" s="4" t="inlineStr">
        <is>
          <t>mu (Pa-s)</t>
        </is>
      </c>
      <c r="F79" s="4" t="inlineStr">
        <is>
          <t>Source</t>
        </is>
      </c>
    </row>
    <row r="80" ht="32" customHeight="1">
      <c r="A80" s="5" t="inlineStr">
        <is>
          <t>Syltherm-800 (base fluid)</t>
        </is>
      </c>
      <c r="B80" s="5" t="n">
        <v>747.2</v>
      </c>
      <c r="C80" s="5" t="n">
        <v>1962</v>
      </c>
      <c r="D80" s="5" t="n">
        <v>0.0961</v>
      </c>
      <c r="E80" s="5" t="n">
        <v>0.00084</v>
      </c>
      <c r="F80" s="5" t="inlineStr">
        <is>
          <t>Mirror thesis Table 4-2, p.104 = Proposal_Last.pdf Table 14, p.49 (identical)</t>
        </is>
      </c>
    </row>
    <row r="81" ht="44" customHeight="1">
      <c r="A81" s="5" t="inlineStr">
        <is>
          <t>Ag</t>
        </is>
      </c>
      <c r="B81" s="5" t="n">
        <v>10500</v>
      </c>
      <c r="C81" s="5" t="n">
        <v>235</v>
      </c>
      <c r="D81" s="5" t="n">
        <v>429</v>
      </c>
      <c r="E81" s="5" t="inlineStr">
        <is>
          <t>—</t>
        </is>
      </c>
      <c r="F81" s="5" t="inlineStr">
        <is>
          <t>Cross-checked 2026-10-07: standard silver bulk constants, matches mirror thesis exactly and every independent source checked — no disagreement.</t>
        </is>
      </c>
    </row>
    <row r="82" ht="58" customHeight="1">
      <c r="A82" s="5" t="inlineStr">
        <is>
          <t>MgO</t>
        </is>
      </c>
      <c r="B82" s="5" t="n">
        <v>3580</v>
      </c>
      <c r="C82" s="5" t="n">
        <v>955</v>
      </c>
      <c r="D82" s="5" t="n">
        <v>45</v>
      </c>
      <c r="E82" s="5" t="inlineStr">
        <is>
          <t>—</t>
        </is>
      </c>
      <c r="F82" s="5" t="inlineStr">
        <is>
          <t>Cross-checked 2026-10-07 against multiple Ag-MgO-specific hybrid-nanofluid papers (rho fully consistent everywhere). Cp/k = primary recommended set; an alternate published set (Cp=879, k=30) also exists in the literature and is a legitimate alternative — flagged above.</t>
        </is>
      </c>
    </row>
    <row r="84" ht="18" customHeight="1">
      <c r="A84" s="3" t="inlineStr">
        <is>
          <t>Step 2 — worked example at phi=2%, 50:50 split, T_in=500K — ready to type into Fluent (equations: see Hybrid #1, Step 3 above)</t>
        </is>
      </c>
      <c r="B84" s="3" t="n"/>
      <c r="C84" s="3" t="n"/>
      <c r="D84" s="3" t="n"/>
      <c r="E84" s="3" t="n"/>
      <c r="F84" s="3" t="n"/>
    </row>
    <row r="85">
      <c r="A85" s="4" t="inlineStr">
        <is>
          <t>Property</t>
        </is>
      </c>
      <c r="B85" s="4" t="inlineStr">
        <is>
          <t>Value</t>
        </is>
      </c>
      <c r="C85" s="4" t="inlineStr">
        <is>
          <t>Unit</t>
        </is>
      </c>
      <c r="D85" s="4" t="inlineStr">
        <is>
          <t>Sanity check at phi=0</t>
        </is>
      </c>
    </row>
    <row r="86">
      <c r="A86" s="9" t="inlineStr">
        <is>
          <t>Density, rho_hnf</t>
        </is>
      </c>
      <c r="B86" s="9" t="n">
        <v>873.0599999999999</v>
      </c>
      <c r="C86" s="9" t="inlineStr">
        <is>
          <t>kg/m3</t>
        </is>
      </c>
      <c r="D86" s="9" t="inlineStr">
        <is>
          <t>Passes — reduces to rho_bf</t>
        </is>
      </c>
    </row>
    <row r="87">
      <c r="A87" s="9" t="inlineStr">
        <is>
          <t>Specific heat, Cp_hnf</t>
        </is>
      </c>
      <c r="B87" s="9" t="n">
        <v>1713.01</v>
      </c>
      <c r="C87" s="9" t="inlineStr">
        <is>
          <t>J/kg-K</t>
        </is>
      </c>
      <c r="D87" s="9" t="inlineStr">
        <is>
          <t>Passes — reduces to Cp_bf</t>
        </is>
      </c>
    </row>
    <row r="88">
      <c r="A88" s="9" t="inlineStr">
        <is>
          <t>Equivalent conductivity, k_hnp</t>
        </is>
      </c>
      <c r="B88" s="9" t="n">
        <v>237</v>
      </c>
      <c r="C88" s="9" t="inlineStr">
        <is>
          <t>W/m-K</t>
        </is>
      </c>
      <c r="D88" s="9" t="inlineStr">
        <is>
          <t>n/a — intermediate value</t>
        </is>
      </c>
    </row>
    <row r="89">
      <c r="A89" s="9" t="inlineStr">
        <is>
          <t>Thermal conductivity, k_hnf</t>
        </is>
      </c>
      <c r="B89" s="9" t="n">
        <v>0.10198</v>
      </c>
      <c r="C89" s="9" t="inlineStr">
        <is>
          <t>W/m-K</t>
        </is>
      </c>
      <c r="D89" s="9" t="inlineStr">
        <is>
          <t>Passes — verified = 0.0961 at phi=0</t>
        </is>
      </c>
    </row>
    <row r="90">
      <c r="A90" s="9" t="inlineStr">
        <is>
          <t>Viscosity, mu_hnf</t>
        </is>
      </c>
      <c r="B90" s="9" t="n">
        <v>0.0008835</v>
      </c>
      <c r="C90" s="9" t="inlineStr">
        <is>
          <t>Pa-s</t>
        </is>
      </c>
      <c r="D90" s="9" t="inlineStr">
        <is>
          <t>Passes — verified = 0.00084 at phi=0</t>
        </is>
      </c>
    </row>
    <row r="92" ht="50" customHeight="1">
      <c r="A92" s="23" t="inlineStr">
        <is>
          <t>GREEN LIGHT (with one flagged convention): all four properties sourced and pass the phi=0 sanity check. k_hnf and mu_hnf again come out numerically identical to the other two hybrids' — same reason: Maxwell saturation + Brinkman's particle-independence. Differences in simulated PEC across the three nanofluid types will come entirely from rho_hnf/Cp_hnf, not from k or viscosity.</t>
        </is>
      </c>
      <c r="B92" s="23" t="n"/>
      <c r="C92" s="23" t="n"/>
      <c r="D92" s="23" t="n"/>
      <c r="E92" s="23" t="n"/>
      <c r="F92" s="23" t="n"/>
    </row>
    <row r="93" ht="30" customHeight="1">
      <c r="A93" s="7" t="inlineStr">
        <is>
          <t>Fluent setup: copy syltherm800_oil, rename (e.g. "AgMgO_phi2_5050"), switch the 4 properties to Constant, enter the values above. Do not edit the original.</t>
        </is>
      </c>
      <c r="B93" s="7" t="n"/>
      <c r="C93" s="7" t="n"/>
      <c r="D93" s="7" t="n"/>
      <c r="E93" s="7" t="n"/>
      <c r="F93" s="7" t="n"/>
    </row>
  </sheetData>
  <mergeCells count="39">
    <mergeCell ref="A16:F16"/>
    <mergeCell ref="A84:F84"/>
    <mergeCell ref="A75:F75"/>
    <mergeCell ref="A27:F27"/>
    <mergeCell ref="A50:F50"/>
    <mergeCell ref="A18:F18"/>
    <mergeCell ref="A56:F56"/>
    <mergeCell ref="A21:F21"/>
    <mergeCell ref="E39:F39"/>
    <mergeCell ref="B38:D38"/>
    <mergeCell ref="A55:F55"/>
    <mergeCell ref="A2:F2"/>
    <mergeCell ref="E35:F35"/>
    <mergeCell ref="B37:D37"/>
    <mergeCell ref="E38:F38"/>
    <mergeCell ref="A42:F42"/>
    <mergeCell ref="A76:F76"/>
    <mergeCell ref="B40:D40"/>
    <mergeCell ref="A4:F4"/>
    <mergeCell ref="E40:F40"/>
    <mergeCell ref="A53:F53"/>
    <mergeCell ref="A72:F72"/>
    <mergeCell ref="A52:F52"/>
    <mergeCell ref="A10:F10"/>
    <mergeCell ref="B36:D36"/>
    <mergeCell ref="A93:F93"/>
    <mergeCell ref="A19:F19"/>
    <mergeCell ref="B35:D35"/>
    <mergeCell ref="A58:F58"/>
    <mergeCell ref="A34:F34"/>
    <mergeCell ref="E36:F36"/>
    <mergeCell ref="A92:F92"/>
    <mergeCell ref="A64:F64"/>
    <mergeCell ref="A73:F73"/>
    <mergeCell ref="A51:F51"/>
    <mergeCell ref="A1:F1"/>
    <mergeCell ref="E37:F37"/>
    <mergeCell ref="A78:F78"/>
    <mergeCell ref="B39:D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9" customWidth="1" min="3" max="3"/>
    <col width="10" customWidth="1" min="4" max="4"/>
    <col width="10" customWidth="1" min="5" max="5"/>
    <col width="10" customWidth="1" min="6" max="6"/>
    <col width="9" customWidth="1" min="7" max="7"/>
    <col width="11" customWidth="1" min="8" max="8"/>
    <col width="16" customWidth="1" min="9" max="9"/>
    <col width="50" customWidth="1" min="10" max="10"/>
    <col width="14" customWidth="1" min="11" max="11"/>
    <col width="9" customWidth="1" min="12" max="12"/>
    <col width="9" customWidth="1" min="13" max="13"/>
    <col width="13" customWidth="1" min="14" max="14"/>
    <col width="13" customWidth="1" min="15" max="15"/>
    <col width="12" customWidth="1" min="16" max="16"/>
    <col width="12" customWidth="1" min="17" max="17"/>
  </cols>
  <sheetData>
    <row r="1" ht="22" customHeight="1">
      <c r="A1" s="1" t="inlineStr">
        <is>
          <t>PTSC Receiver with Hollow Twisted Square Promoter — Parameter &amp; Run-Tracking Table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4" t="n"/>
    </row>
    <row r="2" ht="16" customHeight="1">
      <c r="A2" s="2" t="inlineStr">
        <is>
          <t>Fixed for every run: dto=70mm, dti=66mm, L=2000mm, fluid=Syltherm-800, T_in=500K, same solar-flux boundary condition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4" t="n"/>
    </row>
    <row r="4" ht="30" customHeight="1">
      <c r="A4" s="4" t="inlineStr">
        <is>
          <t>Run #</t>
        </is>
      </c>
      <c r="B4" s="4" t="inlineStr">
        <is>
          <t>Pt (mm)</t>
        </is>
      </c>
      <c r="C4" s="4" t="inlineStr">
        <is>
          <t>Pt / dti</t>
        </is>
      </c>
      <c r="D4" s="4" t="inlineStr">
        <is>
          <t>dpo (mm)</t>
        </is>
      </c>
      <c r="E4" s="4" t="inlineStr">
        <is>
          <t>dpi (mm)</t>
        </is>
      </c>
      <c r="F4" s="4" t="inlineStr">
        <is>
          <t>dpo / dti</t>
        </is>
      </c>
      <c r="G4" s="4" t="inlineStr">
        <is>
          <t>tp / dpo</t>
        </is>
      </c>
      <c r="H4" s="4" t="inlineStr">
        <is>
          <t>Re (target)</t>
        </is>
      </c>
      <c r="I4" s="4" t="inlineStr">
        <is>
          <t>Status</t>
        </is>
      </c>
      <c r="J4" s="4" t="inlineStr">
        <is>
          <t>Notes</t>
        </is>
      </c>
      <c r="K4" s="4" t="inlineStr">
        <is>
          <t>Nanofluid</t>
        </is>
      </c>
      <c r="L4" s="4" t="inlineStr">
        <is>
          <t>phi (%)</t>
        </is>
      </c>
      <c r="M4" s="4" t="inlineStr">
        <is>
          <t>Split</t>
        </is>
      </c>
      <c r="N4" s="4" t="inlineStr">
        <is>
          <t>rho_hnf (kg/m3)</t>
        </is>
      </c>
      <c r="O4" s="4" t="inlineStr">
        <is>
          <t>Cp_hnf (J/kg-K)</t>
        </is>
      </c>
      <c r="P4" s="4" t="inlineStr">
        <is>
          <t>k_hnf (W/m-K)</t>
        </is>
      </c>
      <c r="Q4" s="4" t="inlineStr">
        <is>
          <t>mu_hnf (Pa-s)</t>
        </is>
      </c>
    </row>
    <row r="5">
      <c r="A5" s="3" t="inlineStr">
        <is>
          <t>Reference Case — Smooth Tube Baseline (no promoter), used for Nu0 / f0</t>
        </is>
      </c>
      <c r="B5" s="13" t="n"/>
      <c r="C5" s="13" t="n"/>
      <c r="D5" s="13" t="n"/>
      <c r="E5" s="13" t="n"/>
      <c r="F5" s="13" t="n"/>
      <c r="G5" s="13" t="n"/>
      <c r="H5" s="13" t="n"/>
      <c r="I5" s="13" t="n"/>
      <c r="J5" s="14" t="n"/>
    </row>
    <row r="6" ht="15" customHeight="1">
      <c r="A6" s="8" t="n">
        <v>1</v>
      </c>
      <c r="B6" s="8" t="inlineStr">
        <is>
          <t>-</t>
        </is>
      </c>
      <c r="C6" s="8" t="inlineStr">
        <is>
          <t>-</t>
        </is>
      </c>
      <c r="D6" s="8" t="inlineStr">
        <is>
          <t>-</t>
        </is>
      </c>
      <c r="E6" s="8" t="inlineStr">
        <is>
          <t>-</t>
        </is>
      </c>
      <c r="F6" s="8" t="inlineStr">
        <is>
          <t>-</t>
        </is>
      </c>
      <c r="G6" s="8" t="inlineStr">
        <is>
          <t>-</t>
        </is>
      </c>
      <c r="H6" s="8" t="n">
        <v>5000</v>
      </c>
      <c r="I6" s="8" t="inlineStr">
        <is>
          <t>Done</t>
        </is>
      </c>
      <c r="J6" s="9" t="inlineStr">
        <is>
          <t>Real CFD smooth-tube run at this Re; source of Nu0/f0 (no correlation used)</t>
        </is>
      </c>
      <c r="K6" s="16" t="n"/>
      <c r="L6" s="16" t="n"/>
      <c r="M6" s="16" t="n"/>
      <c r="N6" s="16" t="n"/>
      <c r="O6" s="16" t="n"/>
      <c r="P6" s="16" t="n"/>
      <c r="Q6" s="16" t="n"/>
    </row>
    <row r="7" ht="15" customHeight="1">
      <c r="A7" s="8" t="n">
        <v>2</v>
      </c>
      <c r="B7" s="8" t="inlineStr">
        <is>
          <t>-</t>
        </is>
      </c>
      <c r="C7" s="8" t="inlineStr">
        <is>
          <t>-</t>
        </is>
      </c>
      <c r="D7" s="8" t="inlineStr">
        <is>
          <t>-</t>
        </is>
      </c>
      <c r="E7" s="8" t="inlineStr">
        <is>
          <t>-</t>
        </is>
      </c>
      <c r="F7" s="8" t="inlineStr">
        <is>
          <t>-</t>
        </is>
      </c>
      <c r="G7" s="8" t="inlineStr">
        <is>
          <t>-</t>
        </is>
      </c>
      <c r="H7" s="8" t="n">
        <v>10000</v>
      </c>
      <c r="I7" s="8" t="inlineStr">
        <is>
          <t>Done</t>
        </is>
      </c>
      <c r="J7" s="9" t="inlineStr">
        <is>
          <t>Real CFD smooth-tube run at this Re; source of Nu0/f0 (no correlation used)</t>
        </is>
      </c>
      <c r="K7" s="16" t="n"/>
      <c r="L7" s="16" t="n"/>
      <c r="M7" s="16" t="n"/>
      <c r="N7" s="16" t="n"/>
      <c r="O7" s="16" t="n"/>
      <c r="P7" s="16" t="n"/>
      <c r="Q7" s="16" t="n"/>
    </row>
    <row r="8" ht="15" customHeight="1">
      <c r="A8" s="8" t="n">
        <v>3</v>
      </c>
      <c r="B8" s="8" t="inlineStr">
        <is>
          <t>-</t>
        </is>
      </c>
      <c r="C8" s="8" t="inlineStr">
        <is>
          <t>-</t>
        </is>
      </c>
      <c r="D8" s="8" t="inlineStr">
        <is>
          <t>-</t>
        </is>
      </c>
      <c r="E8" s="8" t="inlineStr">
        <is>
          <t>-</t>
        </is>
      </c>
      <c r="F8" s="8" t="inlineStr">
        <is>
          <t>-</t>
        </is>
      </c>
      <c r="G8" s="8" t="inlineStr">
        <is>
          <t>-</t>
        </is>
      </c>
      <c r="H8" s="8" t="n">
        <v>15000</v>
      </c>
      <c r="I8" s="8" t="inlineStr">
        <is>
          <t>Done</t>
        </is>
      </c>
      <c r="J8" s="9" t="inlineStr">
        <is>
          <t>Real CFD smooth-tube run at this Re; source of Nu0/f0 (no correlation used)</t>
        </is>
      </c>
      <c r="K8" s="16" t="n"/>
      <c r="L8" s="16" t="n"/>
      <c r="M8" s="16" t="n"/>
      <c r="N8" s="16" t="n"/>
      <c r="O8" s="16" t="n"/>
      <c r="P8" s="16" t="n"/>
      <c r="Q8" s="16" t="n"/>
    </row>
    <row r="9" ht="15" customHeight="1">
      <c r="A9" s="8" t="n">
        <v>4</v>
      </c>
      <c r="B9" s="8" t="inlineStr">
        <is>
          <t>-</t>
        </is>
      </c>
      <c r="C9" s="8" t="inlineStr">
        <is>
          <t>-</t>
        </is>
      </c>
      <c r="D9" s="8" t="inlineStr">
        <is>
          <t>-</t>
        </is>
      </c>
      <c r="E9" s="8" t="inlineStr">
        <is>
          <t>-</t>
        </is>
      </c>
      <c r="F9" s="8" t="inlineStr">
        <is>
          <t>-</t>
        </is>
      </c>
      <c r="G9" s="8" t="inlineStr">
        <is>
          <t>-</t>
        </is>
      </c>
      <c r="H9" s="8" t="n">
        <v>20000</v>
      </c>
      <c r="I9" s="8" t="inlineStr">
        <is>
          <t>Done</t>
        </is>
      </c>
      <c r="J9" s="9" t="inlineStr">
        <is>
          <t>Real CFD smooth-tube run at this Re; source of Nu0/f0 (no correlation used)</t>
        </is>
      </c>
      <c r="K9" s="16" t="n"/>
      <c r="L9" s="16" t="n"/>
      <c r="M9" s="16" t="n"/>
      <c r="N9" s="16" t="n"/>
      <c r="O9" s="16" t="n"/>
      <c r="P9" s="16" t="n"/>
      <c r="Q9" s="16" t="n"/>
    </row>
    <row r="10" ht="15" customHeight="1">
      <c r="A10" s="8" t="n">
        <v>5</v>
      </c>
      <c r="B10" s="8" t="inlineStr">
        <is>
          <t>-</t>
        </is>
      </c>
      <c r="C10" s="8" t="inlineStr">
        <is>
          <t>-</t>
        </is>
      </c>
      <c r="D10" s="8" t="inlineStr">
        <is>
          <t>-</t>
        </is>
      </c>
      <c r="E10" s="8" t="inlineStr">
        <is>
          <t>-</t>
        </is>
      </c>
      <c r="F10" s="8" t="inlineStr">
        <is>
          <t>-</t>
        </is>
      </c>
      <c r="G10" s="8" t="inlineStr">
        <is>
          <t>-</t>
        </is>
      </c>
      <c r="H10" s="8" t="n">
        <v>25000</v>
      </c>
      <c r="I10" s="8" t="inlineStr">
        <is>
          <t>Done</t>
        </is>
      </c>
      <c r="J10" s="9" t="inlineStr">
        <is>
          <t>Real CFD smooth-tube run at this Re; source of Nu0/f0 (no correlation used)</t>
        </is>
      </c>
      <c r="K10" s="16" t="n"/>
      <c r="L10" s="16" t="n"/>
      <c r="M10" s="16" t="n"/>
      <c r="N10" s="16" t="n"/>
      <c r="O10" s="16" t="n"/>
      <c r="P10" s="16" t="n"/>
      <c r="Q10" s="16" t="n"/>
    </row>
    <row r="11" ht="15" customHeight="1">
      <c r="A11" s="8" t="n">
        <v>6</v>
      </c>
      <c r="B11" s="8" t="inlineStr">
        <is>
          <t>-</t>
        </is>
      </c>
      <c r="C11" s="8" t="inlineStr">
        <is>
          <t>-</t>
        </is>
      </c>
      <c r="D11" s="8" t="inlineStr">
        <is>
          <t>-</t>
        </is>
      </c>
      <c r="E11" s="8" t="inlineStr">
        <is>
          <t>-</t>
        </is>
      </c>
      <c r="F11" s="8" t="inlineStr">
        <is>
          <t>-</t>
        </is>
      </c>
      <c r="G11" s="8" t="inlineStr">
        <is>
          <t>-</t>
        </is>
      </c>
      <c r="H11" s="8" t="n">
        <v>30000</v>
      </c>
      <c r="I11" s="8" t="inlineStr">
        <is>
          <t>Done</t>
        </is>
      </c>
      <c r="J11" s="9" t="inlineStr">
        <is>
          <t>Real CFD smooth-tube run at this Re; source of Nu0/f0 (no correlation used)</t>
        </is>
      </c>
      <c r="K11" s="16" t="n"/>
      <c r="L11" s="16" t="n"/>
      <c r="M11" s="16" t="n"/>
      <c r="N11" s="16" t="n"/>
      <c r="O11" s="16" t="n"/>
      <c r="P11" s="16" t="n"/>
      <c r="Q11" s="16" t="n"/>
    </row>
    <row r="12">
      <c r="A12" s="3" t="inlineStr">
        <is>
          <t>Stage 1 — Twist Pitch Screening (dpo/dti = 0.23 baseline, wall ratio = 0.07 baseline)</t>
        </is>
      </c>
      <c r="B12" s="13" t="n"/>
      <c r="C12" s="13" t="n"/>
      <c r="D12" s="13" t="n"/>
      <c r="E12" s="13" t="n"/>
      <c r="F12" s="13" t="n"/>
      <c r="G12" s="13" t="n"/>
      <c r="H12" s="13" t="n"/>
      <c r="I12" s="13" t="n"/>
      <c r="J12" s="14" t="n"/>
      <c r="K12" s="16" t="n"/>
      <c r="L12" s="16" t="n"/>
      <c r="M12" s="16" t="n"/>
      <c r="N12" s="16" t="n"/>
      <c r="O12" s="16" t="n"/>
      <c r="P12" s="16" t="n"/>
      <c r="Q12" s="16" t="n"/>
    </row>
    <row r="13" ht="15" customHeight="1">
      <c r="A13" s="8" t="n">
        <v>7</v>
      </c>
      <c r="B13" s="8" t="n">
        <v>200</v>
      </c>
      <c r="C13" s="8" t="n">
        <v>3.0303</v>
      </c>
      <c r="D13" s="8" t="n">
        <v>15</v>
      </c>
      <c r="E13" s="8" t="n">
        <v>12.9</v>
      </c>
      <c r="F13" s="8" t="n">
        <v>0.2273</v>
      </c>
      <c r="G13" s="8" t="n">
        <v>0.07000000000000001</v>
      </c>
      <c r="H13" s="8" t="n">
        <v>5000</v>
      </c>
      <c r="I13" s="8" t="inlineStr">
        <is>
          <t>Done</t>
        </is>
      </c>
      <c r="J13" s="9" t="inlineStr">
        <is>
          <t>Completed and logged</t>
        </is>
      </c>
      <c r="K13" s="16" t="n"/>
      <c r="L13" s="16" t="n"/>
      <c r="M13" s="16" t="n"/>
      <c r="N13" s="16" t="n"/>
      <c r="O13" s="16" t="n"/>
      <c r="P13" s="16" t="n"/>
      <c r="Q13" s="16" t="n"/>
    </row>
    <row r="14" ht="15" customHeight="1">
      <c r="A14" s="8" t="n">
        <v>8</v>
      </c>
      <c r="B14" s="8" t="n">
        <v>200</v>
      </c>
      <c r="C14" s="8" t="n">
        <v>3.0303</v>
      </c>
      <c r="D14" s="8" t="n">
        <v>15</v>
      </c>
      <c r="E14" s="8" t="n">
        <v>12.9</v>
      </c>
      <c r="F14" s="8" t="n">
        <v>0.2273</v>
      </c>
      <c r="G14" s="8" t="n">
        <v>0.07000000000000001</v>
      </c>
      <c r="H14" s="8" t="n">
        <v>10000</v>
      </c>
      <c r="I14" s="8" t="inlineStr">
        <is>
          <t>Done</t>
        </is>
      </c>
      <c r="J14" s="9" t="inlineStr">
        <is>
          <t>Completed and logged</t>
        </is>
      </c>
      <c r="K14" s="16" t="n"/>
      <c r="L14" s="16" t="n"/>
      <c r="M14" s="16" t="n"/>
      <c r="N14" s="16" t="n"/>
      <c r="O14" s="16" t="n"/>
      <c r="P14" s="16" t="n"/>
      <c r="Q14" s="16" t="n"/>
    </row>
    <row r="15" ht="15" customHeight="1">
      <c r="A15" s="8" t="n">
        <v>9</v>
      </c>
      <c r="B15" s="8" t="n">
        <v>200</v>
      </c>
      <c r="C15" s="8" t="n">
        <v>3.0303</v>
      </c>
      <c r="D15" s="8" t="n">
        <v>15</v>
      </c>
      <c r="E15" s="8" t="n">
        <v>12.9</v>
      </c>
      <c r="F15" s="8" t="n">
        <v>0.2273</v>
      </c>
      <c r="G15" s="8" t="n">
        <v>0.07000000000000001</v>
      </c>
      <c r="H15" s="8" t="n">
        <v>15000</v>
      </c>
      <c r="I15" s="8" t="inlineStr">
        <is>
          <t>Done</t>
        </is>
      </c>
      <c r="J15" s="9" t="inlineStr">
        <is>
          <t>Completed and logged</t>
        </is>
      </c>
      <c r="K15" s="16" t="n"/>
      <c r="L15" s="16" t="n"/>
      <c r="M15" s="16" t="n"/>
      <c r="N15" s="16" t="n"/>
      <c r="O15" s="16" t="n"/>
      <c r="P15" s="16" t="n"/>
      <c r="Q15" s="16" t="n"/>
    </row>
    <row r="16" ht="15" customHeight="1">
      <c r="A16" s="8" t="n">
        <v>10</v>
      </c>
      <c r="B16" s="8" t="n">
        <v>200</v>
      </c>
      <c r="C16" s="8" t="n">
        <v>3.0303</v>
      </c>
      <c r="D16" s="8" t="n">
        <v>15</v>
      </c>
      <c r="E16" s="8" t="n">
        <v>12.9</v>
      </c>
      <c r="F16" s="8" t="n">
        <v>0.2273</v>
      </c>
      <c r="G16" s="8" t="n">
        <v>0.07000000000000001</v>
      </c>
      <c r="H16" s="8" t="n">
        <v>20000</v>
      </c>
      <c r="I16" s="8" t="inlineStr">
        <is>
          <t>Done</t>
        </is>
      </c>
      <c r="J16" s="9" t="inlineStr">
        <is>
          <t>Completed and logged</t>
        </is>
      </c>
      <c r="K16" s="16" t="n"/>
      <c r="L16" s="16" t="n"/>
      <c r="M16" s="16" t="n"/>
      <c r="N16" s="16" t="n"/>
      <c r="O16" s="16" t="n"/>
      <c r="P16" s="16" t="n"/>
      <c r="Q16" s="16" t="n"/>
    </row>
    <row r="17" ht="15" customHeight="1">
      <c r="A17" s="8" t="n">
        <v>11</v>
      </c>
      <c r="B17" s="8" t="n">
        <v>200</v>
      </c>
      <c r="C17" s="8" t="n">
        <v>3.0303</v>
      </c>
      <c r="D17" s="8" t="n">
        <v>15</v>
      </c>
      <c r="E17" s="8" t="n">
        <v>12.9</v>
      </c>
      <c r="F17" s="8" t="n">
        <v>0.2273</v>
      </c>
      <c r="G17" s="8" t="n">
        <v>0.07000000000000001</v>
      </c>
      <c r="H17" s="8" t="n">
        <v>25000</v>
      </c>
      <c r="I17" s="8" t="inlineStr">
        <is>
          <t>Done</t>
        </is>
      </c>
      <c r="J17" s="9" t="inlineStr">
        <is>
          <t>Completed and logged</t>
        </is>
      </c>
      <c r="K17" s="16" t="n"/>
      <c r="L17" s="16" t="n"/>
      <c r="M17" s="16" t="n"/>
      <c r="N17" s="16" t="n"/>
      <c r="O17" s="16" t="n"/>
      <c r="P17" s="16" t="n"/>
      <c r="Q17" s="16" t="n"/>
    </row>
    <row r="18" ht="15" customHeight="1">
      <c r="A18" s="8" t="n">
        <v>12</v>
      </c>
      <c r="B18" s="8" t="n">
        <v>200</v>
      </c>
      <c r="C18" s="8" t="n">
        <v>3.0303</v>
      </c>
      <c r="D18" s="8" t="n">
        <v>15</v>
      </c>
      <c r="E18" s="8" t="n">
        <v>12.9</v>
      </c>
      <c r="F18" s="8" t="n">
        <v>0.2273</v>
      </c>
      <c r="G18" s="8" t="n">
        <v>0.07000000000000001</v>
      </c>
      <c r="H18" s="8" t="n">
        <v>30000</v>
      </c>
      <c r="I18" s="8" t="inlineStr">
        <is>
          <t>Done</t>
        </is>
      </c>
      <c r="J18" s="9" t="inlineStr">
        <is>
          <t>Completed and logged</t>
        </is>
      </c>
      <c r="K18" s="16" t="n"/>
      <c r="L18" s="16" t="n"/>
      <c r="M18" s="16" t="n"/>
      <c r="N18" s="16" t="n"/>
      <c r="O18" s="16" t="n"/>
      <c r="P18" s="16" t="n"/>
      <c r="Q18" s="16" t="n"/>
    </row>
    <row r="19" ht="15" customHeight="1">
      <c r="A19" s="8" t="n">
        <v>13</v>
      </c>
      <c r="B19" s="8" t="n">
        <v>300</v>
      </c>
      <c r="C19" s="8" t="n">
        <v>4.5455</v>
      </c>
      <c r="D19" s="8" t="n">
        <v>15</v>
      </c>
      <c r="E19" s="8" t="n">
        <v>12.9</v>
      </c>
      <c r="F19" s="8" t="n">
        <v>0.2273</v>
      </c>
      <c r="G19" s="8" t="n">
        <v>0.07000000000000001</v>
      </c>
      <c r="H19" s="8" t="n">
        <v>5000</v>
      </c>
      <c r="I19" s="8" t="inlineStr">
        <is>
          <t>Done</t>
        </is>
      </c>
      <c r="J19" s="9" t="inlineStr">
        <is>
          <t>Completed and logged</t>
        </is>
      </c>
      <c r="K19" s="16" t="n"/>
      <c r="L19" s="16" t="n"/>
      <c r="M19" s="16" t="n"/>
      <c r="N19" s="16" t="n"/>
      <c r="O19" s="16" t="n"/>
      <c r="P19" s="16" t="n"/>
      <c r="Q19" s="16" t="n"/>
    </row>
    <row r="20" ht="15" customHeight="1">
      <c r="A20" s="8" t="n">
        <v>14</v>
      </c>
      <c r="B20" s="8" t="n">
        <v>300</v>
      </c>
      <c r="C20" s="8" t="n">
        <v>4.5455</v>
      </c>
      <c r="D20" s="8" t="n">
        <v>15</v>
      </c>
      <c r="E20" s="8" t="n">
        <v>12.9</v>
      </c>
      <c r="F20" s="8" t="n">
        <v>0.2273</v>
      </c>
      <c r="G20" s="8" t="n">
        <v>0.07000000000000001</v>
      </c>
      <c r="H20" s="8" t="n">
        <v>10000</v>
      </c>
      <c r="I20" s="8" t="inlineStr">
        <is>
          <t>Done</t>
        </is>
      </c>
      <c r="J20" s="9" t="inlineStr">
        <is>
          <t>Completed and logged</t>
        </is>
      </c>
      <c r="K20" s="16" t="n"/>
      <c r="L20" s="16" t="n"/>
      <c r="M20" s="16" t="n"/>
      <c r="N20" s="16" t="n"/>
      <c r="O20" s="16" t="n"/>
      <c r="P20" s="16" t="n"/>
      <c r="Q20" s="16" t="n"/>
    </row>
    <row r="21" ht="15" customHeight="1">
      <c r="A21" s="8" t="n">
        <v>15</v>
      </c>
      <c r="B21" s="8" t="n">
        <v>300</v>
      </c>
      <c r="C21" s="8" t="n">
        <v>4.5455</v>
      </c>
      <c r="D21" s="8" t="n">
        <v>15</v>
      </c>
      <c r="E21" s="8" t="n">
        <v>12.9</v>
      </c>
      <c r="F21" s="8" t="n">
        <v>0.2273</v>
      </c>
      <c r="G21" s="8" t="n">
        <v>0.07000000000000001</v>
      </c>
      <c r="H21" s="8" t="n">
        <v>15000</v>
      </c>
      <c r="I21" s="8" t="inlineStr">
        <is>
          <t>Done</t>
        </is>
      </c>
      <c r="J21" s="9" t="inlineStr">
        <is>
          <t>Completed and logged</t>
        </is>
      </c>
      <c r="K21" s="16" t="n"/>
      <c r="L21" s="16" t="n"/>
      <c r="M21" s="16" t="n"/>
      <c r="N21" s="16" t="n"/>
      <c r="O21" s="16" t="n"/>
      <c r="P21" s="16" t="n"/>
      <c r="Q21" s="16" t="n"/>
    </row>
    <row r="22" ht="15" customHeight="1">
      <c r="A22" s="8" t="n">
        <v>16</v>
      </c>
      <c r="B22" s="8" t="n">
        <v>300</v>
      </c>
      <c r="C22" s="8" t="n">
        <v>4.5455</v>
      </c>
      <c r="D22" s="8" t="n">
        <v>15</v>
      </c>
      <c r="E22" s="8" t="n">
        <v>12.9</v>
      </c>
      <c r="F22" s="8" t="n">
        <v>0.2273</v>
      </c>
      <c r="G22" s="8" t="n">
        <v>0.07000000000000001</v>
      </c>
      <c r="H22" s="8" t="n">
        <v>20000</v>
      </c>
      <c r="I22" s="8" t="inlineStr">
        <is>
          <t>Done</t>
        </is>
      </c>
      <c r="J22" s="9" t="inlineStr">
        <is>
          <t>Completed and logged</t>
        </is>
      </c>
      <c r="K22" s="16" t="n"/>
      <c r="L22" s="16" t="n"/>
      <c r="M22" s="16" t="n"/>
      <c r="N22" s="16" t="n"/>
      <c r="O22" s="16" t="n"/>
      <c r="P22" s="16" t="n"/>
      <c r="Q22" s="16" t="n"/>
    </row>
    <row r="23" ht="15" customHeight="1">
      <c r="A23" s="8" t="n">
        <v>17</v>
      </c>
      <c r="B23" s="8" t="n">
        <v>300</v>
      </c>
      <c r="C23" s="8" t="n">
        <v>4.5455</v>
      </c>
      <c r="D23" s="8" t="n">
        <v>15</v>
      </c>
      <c r="E23" s="8" t="n">
        <v>12.9</v>
      </c>
      <c r="F23" s="8" t="n">
        <v>0.2273</v>
      </c>
      <c r="G23" s="8" t="n">
        <v>0.07000000000000001</v>
      </c>
      <c r="H23" s="8" t="n">
        <v>25000</v>
      </c>
      <c r="I23" s="8" t="inlineStr">
        <is>
          <t>Done</t>
        </is>
      </c>
      <c r="J23" s="9" t="inlineStr">
        <is>
          <t>Completed and logged</t>
        </is>
      </c>
      <c r="K23" s="16" t="n"/>
      <c r="L23" s="16" t="n"/>
      <c r="M23" s="16" t="n"/>
      <c r="N23" s="16" t="n"/>
      <c r="O23" s="16" t="n"/>
      <c r="P23" s="16" t="n"/>
      <c r="Q23" s="16" t="n"/>
    </row>
    <row r="24" ht="15" customHeight="1">
      <c r="A24" s="8" t="n">
        <v>18</v>
      </c>
      <c r="B24" s="8" t="n">
        <v>300</v>
      </c>
      <c r="C24" s="8" t="n">
        <v>4.5455</v>
      </c>
      <c r="D24" s="8" t="n">
        <v>15</v>
      </c>
      <c r="E24" s="8" t="n">
        <v>12.9</v>
      </c>
      <c r="F24" s="8" t="n">
        <v>0.2273</v>
      </c>
      <c r="G24" s="8" t="n">
        <v>0.07000000000000001</v>
      </c>
      <c r="H24" s="8" t="n">
        <v>30000</v>
      </c>
      <c r="I24" s="8" t="inlineStr">
        <is>
          <t>Done</t>
        </is>
      </c>
      <c r="J24" s="9" t="inlineStr">
        <is>
          <t>Completed and logged</t>
        </is>
      </c>
      <c r="K24" s="16" t="n"/>
      <c r="L24" s="16" t="n"/>
      <c r="M24" s="16" t="n"/>
      <c r="N24" s="16" t="n"/>
      <c r="O24" s="16" t="n"/>
      <c r="P24" s="16" t="n"/>
      <c r="Q24" s="16" t="n"/>
    </row>
    <row r="25" ht="15" customHeight="1">
      <c r="A25" s="8" t="n">
        <v>19</v>
      </c>
      <c r="B25" s="8" t="n">
        <v>400</v>
      </c>
      <c r="C25" s="8" t="n">
        <v>6.0606</v>
      </c>
      <c r="D25" s="8" t="n">
        <v>15</v>
      </c>
      <c r="E25" s="8" t="n">
        <v>12.9</v>
      </c>
      <c r="F25" s="8" t="n">
        <v>0.2273</v>
      </c>
      <c r="G25" s="8" t="n">
        <v>0.07000000000000001</v>
      </c>
      <c r="H25" s="8" t="n">
        <v>5000</v>
      </c>
      <c r="I25" s="8" t="inlineStr">
        <is>
          <t>Done</t>
        </is>
      </c>
      <c r="J25" s="9" t="inlineStr">
        <is>
          <t>Completed and logged</t>
        </is>
      </c>
      <c r="K25" s="16" t="n"/>
      <c r="L25" s="16" t="n"/>
      <c r="M25" s="16" t="n"/>
      <c r="N25" s="16" t="n"/>
      <c r="O25" s="16" t="n"/>
      <c r="P25" s="16" t="n"/>
      <c r="Q25" s="16" t="n"/>
    </row>
    <row r="26" ht="15" customHeight="1">
      <c r="A26" s="8" t="n">
        <v>20</v>
      </c>
      <c r="B26" s="8" t="n">
        <v>400</v>
      </c>
      <c r="C26" s="8" t="n">
        <v>6.0606</v>
      </c>
      <c r="D26" s="8" t="n">
        <v>15</v>
      </c>
      <c r="E26" s="8" t="n">
        <v>12.9</v>
      </c>
      <c r="F26" s="8" t="n">
        <v>0.2273</v>
      </c>
      <c r="G26" s="8" t="n">
        <v>0.07000000000000001</v>
      </c>
      <c r="H26" s="8" t="n">
        <v>10000</v>
      </c>
      <c r="I26" s="8" t="inlineStr">
        <is>
          <t>Done</t>
        </is>
      </c>
      <c r="J26" s="9" t="inlineStr">
        <is>
          <t>Completed and logged</t>
        </is>
      </c>
      <c r="K26" s="16" t="n"/>
      <c r="L26" s="16" t="n"/>
      <c r="M26" s="16" t="n"/>
      <c r="N26" s="16" t="n"/>
      <c r="O26" s="16" t="n"/>
      <c r="P26" s="16" t="n"/>
      <c r="Q26" s="16" t="n"/>
    </row>
    <row r="27" ht="15" customHeight="1">
      <c r="A27" s="8" t="n">
        <v>21</v>
      </c>
      <c r="B27" s="8" t="n">
        <v>400</v>
      </c>
      <c r="C27" s="8" t="n">
        <v>6.0606</v>
      </c>
      <c r="D27" s="8" t="n">
        <v>15</v>
      </c>
      <c r="E27" s="8" t="n">
        <v>12.9</v>
      </c>
      <c r="F27" s="8" t="n">
        <v>0.2273</v>
      </c>
      <c r="G27" s="8" t="n">
        <v>0.07000000000000001</v>
      </c>
      <c r="H27" s="8" t="n">
        <v>15000</v>
      </c>
      <c r="I27" s="8" t="inlineStr">
        <is>
          <t>Done</t>
        </is>
      </c>
      <c r="J27" s="9" t="inlineStr">
        <is>
          <t>Completed and logged</t>
        </is>
      </c>
      <c r="K27" s="16" t="n"/>
      <c r="L27" s="16" t="n"/>
      <c r="M27" s="16" t="n"/>
      <c r="N27" s="16" t="n"/>
      <c r="O27" s="16" t="n"/>
      <c r="P27" s="16" t="n"/>
      <c r="Q27" s="16" t="n"/>
    </row>
    <row r="28" ht="15" customHeight="1">
      <c r="A28" s="8" t="n">
        <v>22</v>
      </c>
      <c r="B28" s="8" t="n">
        <v>400</v>
      </c>
      <c r="C28" s="8" t="n">
        <v>6.0606</v>
      </c>
      <c r="D28" s="8" t="n">
        <v>15</v>
      </c>
      <c r="E28" s="8" t="n">
        <v>12.9</v>
      </c>
      <c r="F28" s="8" t="n">
        <v>0.2273</v>
      </c>
      <c r="G28" s="8" t="n">
        <v>0.07000000000000001</v>
      </c>
      <c r="H28" s="8" t="n">
        <v>20000</v>
      </c>
      <c r="I28" s="8" t="inlineStr">
        <is>
          <t>Done</t>
        </is>
      </c>
      <c r="J28" s="9" t="inlineStr">
        <is>
          <t>Completed and logged</t>
        </is>
      </c>
      <c r="K28" s="16" t="n"/>
      <c r="L28" s="16" t="n"/>
      <c r="M28" s="16" t="n"/>
      <c r="N28" s="16" t="n"/>
      <c r="O28" s="16" t="n"/>
      <c r="P28" s="16" t="n"/>
      <c r="Q28" s="16" t="n"/>
    </row>
    <row r="29" ht="15" customHeight="1">
      <c r="A29" s="8" t="n">
        <v>23</v>
      </c>
      <c r="B29" s="8" t="n">
        <v>400</v>
      </c>
      <c r="C29" s="8" t="n">
        <v>6.0606</v>
      </c>
      <c r="D29" s="8" t="n">
        <v>15</v>
      </c>
      <c r="E29" s="8" t="n">
        <v>12.9</v>
      </c>
      <c r="F29" s="8" t="n">
        <v>0.2273</v>
      </c>
      <c r="G29" s="8" t="n">
        <v>0.07000000000000001</v>
      </c>
      <c r="H29" s="8" t="n">
        <v>25000</v>
      </c>
      <c r="I29" s="8" t="inlineStr">
        <is>
          <t>Done</t>
        </is>
      </c>
      <c r="J29" s="9" t="inlineStr">
        <is>
          <t>Completed and logged</t>
        </is>
      </c>
      <c r="K29" s="16" t="n"/>
      <c r="L29" s="16" t="n"/>
      <c r="M29" s="16" t="n"/>
      <c r="N29" s="16" t="n"/>
      <c r="O29" s="16" t="n"/>
      <c r="P29" s="16" t="n"/>
      <c r="Q29" s="16" t="n"/>
    </row>
    <row r="30" ht="15" customHeight="1">
      <c r="A30" s="8" t="n">
        <v>24</v>
      </c>
      <c r="B30" s="8" t="n">
        <v>400</v>
      </c>
      <c r="C30" s="8" t="n">
        <v>6.0606</v>
      </c>
      <c r="D30" s="8" t="n">
        <v>15</v>
      </c>
      <c r="E30" s="8" t="n">
        <v>12.9</v>
      </c>
      <c r="F30" s="8" t="n">
        <v>0.2273</v>
      </c>
      <c r="G30" s="8" t="n">
        <v>0.07000000000000001</v>
      </c>
      <c r="H30" s="8" t="n">
        <v>30000</v>
      </c>
      <c r="I30" s="8" t="inlineStr">
        <is>
          <t>Done</t>
        </is>
      </c>
      <c r="J30" s="9" t="inlineStr">
        <is>
          <t>Completed and logged</t>
        </is>
      </c>
      <c r="K30" s="16" t="n"/>
      <c r="L30" s="16" t="n"/>
      <c r="M30" s="16" t="n"/>
      <c r="N30" s="16" t="n"/>
      <c r="O30" s="16" t="n"/>
      <c r="P30" s="16" t="n"/>
      <c r="Q30" s="16" t="n"/>
    </row>
    <row r="31" ht="18" customHeight="1">
      <c r="A31" s="10" t="inlineStr">
        <is>
          <t>Result: Pt = 200 mm selected — PEC nearly tied across all three pitches (under 0.2% spread); carried forward as fixed from Stage 2 onward.</t>
        </is>
      </c>
      <c r="B31" s="13" t="n"/>
      <c r="C31" s="13" t="n"/>
      <c r="D31" s="13" t="n"/>
      <c r="E31" s="13" t="n"/>
      <c r="F31" s="13" t="n"/>
      <c r="G31" s="13" t="n"/>
      <c r="H31" s="13" t="n"/>
      <c r="I31" s="13" t="n"/>
      <c r="J31" s="14" t="n"/>
      <c r="K31" s="16" t="n"/>
      <c r="L31" s="16" t="n"/>
      <c r="M31" s="16" t="n"/>
      <c r="N31" s="16" t="n"/>
      <c r="O31" s="16" t="n"/>
      <c r="P31" s="16" t="n"/>
      <c r="Q31" s="16" t="n"/>
    </row>
    <row r="32">
      <c r="A32" s="3" t="inlineStr">
        <is>
          <t>Stage 2 — Promoter Size Screening (Pt = 200 mm fixed, wall ratio = 0.05 fixed)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14" t="n"/>
      <c r="K32" s="16" t="n"/>
      <c r="L32" s="16" t="n"/>
      <c r="M32" s="16" t="n"/>
      <c r="N32" s="16" t="n"/>
      <c r="O32" s="16" t="n"/>
      <c r="P32" s="16" t="n"/>
      <c r="Q32" s="16" t="n"/>
    </row>
    <row r="33" ht="15" customHeight="1">
      <c r="A33" s="8" t="n">
        <v>25</v>
      </c>
      <c r="B33" s="8" t="n">
        <v>200</v>
      </c>
      <c r="C33" s="8" t="n">
        <v>3.0303</v>
      </c>
      <c r="D33" s="8" t="n">
        <v>9.9</v>
      </c>
      <c r="E33" s="8" t="n">
        <v>8.91</v>
      </c>
      <c r="F33" s="8" t="n">
        <v>0.15</v>
      </c>
      <c r="G33" s="8" t="n">
        <v>0.05</v>
      </c>
      <c r="H33" s="8" t="n">
        <v>5000</v>
      </c>
      <c r="I33" s="8" t="inlineStr">
        <is>
          <t>Done</t>
        </is>
      </c>
      <c r="J33" s="9" t="inlineStr">
        <is>
          <t>Completed and logged</t>
        </is>
      </c>
      <c r="K33" s="16" t="n"/>
      <c r="L33" s="16" t="n"/>
      <c r="M33" s="16" t="n"/>
      <c r="N33" s="16" t="n"/>
      <c r="O33" s="16" t="n"/>
      <c r="P33" s="16" t="n"/>
      <c r="Q33" s="16" t="n"/>
    </row>
    <row r="34" ht="15" customHeight="1">
      <c r="A34" s="8" t="n">
        <v>26</v>
      </c>
      <c r="B34" s="8" t="n">
        <v>200</v>
      </c>
      <c r="C34" s="8" t="n">
        <v>3.0303</v>
      </c>
      <c r="D34" s="8" t="n">
        <v>9.9</v>
      </c>
      <c r="E34" s="8" t="n">
        <v>8.91</v>
      </c>
      <c r="F34" s="8" t="n">
        <v>0.15</v>
      </c>
      <c r="G34" s="8" t="n">
        <v>0.05</v>
      </c>
      <c r="H34" s="8" t="n">
        <v>10000</v>
      </c>
      <c r="I34" s="8" t="inlineStr">
        <is>
          <t>Done</t>
        </is>
      </c>
      <c r="J34" s="9" t="inlineStr">
        <is>
          <t>Completed and logged</t>
        </is>
      </c>
      <c r="K34" s="16" t="n"/>
      <c r="L34" s="16" t="n"/>
      <c r="M34" s="16" t="n"/>
      <c r="N34" s="16" t="n"/>
      <c r="O34" s="16" t="n"/>
      <c r="P34" s="16" t="n"/>
      <c r="Q34" s="16" t="n"/>
    </row>
    <row r="35" ht="15" customHeight="1">
      <c r="A35" s="8" t="n">
        <v>27</v>
      </c>
      <c r="B35" s="8" t="n">
        <v>200</v>
      </c>
      <c r="C35" s="8" t="n">
        <v>3.0303</v>
      </c>
      <c r="D35" s="8" t="n">
        <v>9.9</v>
      </c>
      <c r="E35" s="8" t="n">
        <v>8.91</v>
      </c>
      <c r="F35" s="8" t="n">
        <v>0.15</v>
      </c>
      <c r="G35" s="8" t="n">
        <v>0.05</v>
      </c>
      <c r="H35" s="8" t="n">
        <v>15000</v>
      </c>
      <c r="I35" s="8" t="inlineStr">
        <is>
          <t>Done</t>
        </is>
      </c>
      <c r="J35" s="9" t="inlineStr">
        <is>
          <t>Completed and logged</t>
        </is>
      </c>
      <c r="K35" s="16" t="n"/>
      <c r="L35" s="16" t="n"/>
      <c r="M35" s="16" t="n"/>
      <c r="N35" s="16" t="n"/>
      <c r="O35" s="16" t="n"/>
      <c r="P35" s="16" t="n"/>
      <c r="Q35" s="16" t="n"/>
    </row>
    <row r="36" ht="15" customHeight="1">
      <c r="A36" s="8" t="n">
        <v>28</v>
      </c>
      <c r="B36" s="8" t="n">
        <v>200</v>
      </c>
      <c r="C36" s="8" t="n">
        <v>3.0303</v>
      </c>
      <c r="D36" s="8" t="n">
        <v>9.9</v>
      </c>
      <c r="E36" s="8" t="n">
        <v>8.91</v>
      </c>
      <c r="F36" s="8" t="n">
        <v>0.15</v>
      </c>
      <c r="G36" s="8" t="n">
        <v>0.05</v>
      </c>
      <c r="H36" s="8" t="n">
        <v>20000</v>
      </c>
      <c r="I36" s="8" t="inlineStr">
        <is>
          <t>Done</t>
        </is>
      </c>
      <c r="J36" s="9" t="inlineStr">
        <is>
          <t>Completed and logged</t>
        </is>
      </c>
      <c r="K36" s="16" t="n"/>
      <c r="L36" s="16" t="n"/>
      <c r="M36" s="16" t="n"/>
      <c r="N36" s="16" t="n"/>
      <c r="O36" s="16" t="n"/>
      <c r="P36" s="16" t="n"/>
      <c r="Q36" s="16" t="n"/>
    </row>
    <row r="37" ht="15" customHeight="1">
      <c r="A37" s="8" t="n">
        <v>29</v>
      </c>
      <c r="B37" s="8" t="n">
        <v>200</v>
      </c>
      <c r="C37" s="8" t="n">
        <v>3.0303</v>
      </c>
      <c r="D37" s="8" t="n">
        <v>9.9</v>
      </c>
      <c r="E37" s="8" t="n">
        <v>8.91</v>
      </c>
      <c r="F37" s="8" t="n">
        <v>0.15</v>
      </c>
      <c r="G37" s="8" t="n">
        <v>0.05</v>
      </c>
      <c r="H37" s="8" t="n">
        <v>25000</v>
      </c>
      <c r="I37" s="8" t="inlineStr">
        <is>
          <t>Done</t>
        </is>
      </c>
      <c r="J37" s="9" t="inlineStr">
        <is>
          <t>Completed and logged</t>
        </is>
      </c>
      <c r="K37" s="16" t="n"/>
      <c r="L37" s="16" t="n"/>
      <c r="M37" s="16" t="n"/>
      <c r="N37" s="16" t="n"/>
      <c r="O37" s="16" t="n"/>
      <c r="P37" s="16" t="n"/>
      <c r="Q37" s="16" t="n"/>
    </row>
    <row r="38" ht="15" customHeight="1">
      <c r="A38" s="8" t="n">
        <v>30</v>
      </c>
      <c r="B38" s="8" t="n">
        <v>200</v>
      </c>
      <c r="C38" s="8" t="n">
        <v>3.0303</v>
      </c>
      <c r="D38" s="8" t="n">
        <v>9.9</v>
      </c>
      <c r="E38" s="8" t="n">
        <v>8.91</v>
      </c>
      <c r="F38" s="8" t="n">
        <v>0.15</v>
      </c>
      <c r="G38" s="8" t="n">
        <v>0.05</v>
      </c>
      <c r="H38" s="8" t="n">
        <v>30000</v>
      </c>
      <c r="I38" s="8" t="inlineStr">
        <is>
          <t>Done</t>
        </is>
      </c>
      <c r="J38" s="9" t="inlineStr">
        <is>
          <t>Completed and logged</t>
        </is>
      </c>
      <c r="K38" s="16" t="n"/>
      <c r="L38" s="16" t="n"/>
      <c r="M38" s="16" t="n"/>
      <c r="N38" s="16" t="n"/>
      <c r="O38" s="16" t="n"/>
      <c r="P38" s="16" t="n"/>
      <c r="Q38" s="16" t="n"/>
    </row>
    <row r="39" ht="15" customHeight="1">
      <c r="A39" s="8" t="n">
        <v>31</v>
      </c>
      <c r="B39" s="8" t="n">
        <v>200</v>
      </c>
      <c r="C39" s="8" t="n">
        <v>3.0303</v>
      </c>
      <c r="D39" s="8" t="n">
        <v>13.2</v>
      </c>
      <c r="E39" s="8" t="n">
        <v>11.88</v>
      </c>
      <c r="F39" s="8" t="n">
        <v>0.2</v>
      </c>
      <c r="G39" s="8" t="n">
        <v>0.05</v>
      </c>
      <c r="H39" s="8" t="n">
        <v>5000</v>
      </c>
      <c r="I39" s="8" t="inlineStr">
        <is>
          <t>Done</t>
        </is>
      </c>
      <c r="J39" s="9" t="inlineStr">
        <is>
          <t>Completed and logged</t>
        </is>
      </c>
      <c r="K39" s="16" t="n"/>
      <c r="L39" s="16" t="n"/>
      <c r="M39" s="16" t="n"/>
      <c r="N39" s="16" t="n"/>
      <c r="O39" s="16" t="n"/>
      <c r="P39" s="16" t="n"/>
      <c r="Q39" s="16" t="n"/>
    </row>
    <row r="40" ht="15" customHeight="1">
      <c r="A40" s="8" t="n">
        <v>32</v>
      </c>
      <c r="B40" s="8" t="n">
        <v>200</v>
      </c>
      <c r="C40" s="8" t="n">
        <v>3.0303</v>
      </c>
      <c r="D40" s="8" t="n">
        <v>13.2</v>
      </c>
      <c r="E40" s="8" t="n">
        <v>11.88</v>
      </c>
      <c r="F40" s="8" t="n">
        <v>0.2</v>
      </c>
      <c r="G40" s="8" t="n">
        <v>0.05</v>
      </c>
      <c r="H40" s="8" t="n">
        <v>10000</v>
      </c>
      <c r="I40" s="8" t="inlineStr">
        <is>
          <t>Done</t>
        </is>
      </c>
      <c r="J40" s="9" t="inlineStr">
        <is>
          <t>Completed and logged</t>
        </is>
      </c>
      <c r="K40" s="16" t="n"/>
      <c r="L40" s="16" t="n"/>
      <c r="M40" s="16" t="n"/>
      <c r="N40" s="16" t="n"/>
      <c r="O40" s="16" t="n"/>
      <c r="P40" s="16" t="n"/>
      <c r="Q40" s="16" t="n"/>
    </row>
    <row r="41" ht="15" customHeight="1">
      <c r="A41" s="8" t="n">
        <v>33</v>
      </c>
      <c r="B41" s="8" t="n">
        <v>200</v>
      </c>
      <c r="C41" s="8" t="n">
        <v>3.0303</v>
      </c>
      <c r="D41" s="8" t="n">
        <v>13.2</v>
      </c>
      <c r="E41" s="8" t="n">
        <v>11.88</v>
      </c>
      <c r="F41" s="8" t="n">
        <v>0.2</v>
      </c>
      <c r="G41" s="8" t="n">
        <v>0.05</v>
      </c>
      <c r="H41" s="8" t="n">
        <v>15000</v>
      </c>
      <c r="I41" s="8" t="inlineStr">
        <is>
          <t>Done</t>
        </is>
      </c>
      <c r="J41" s="9" t="inlineStr">
        <is>
          <t>Completed and logged</t>
        </is>
      </c>
      <c r="K41" s="16" t="n"/>
      <c r="L41" s="16" t="n"/>
      <c r="M41" s="16" t="n"/>
      <c r="N41" s="16" t="n"/>
      <c r="O41" s="16" t="n"/>
      <c r="P41" s="16" t="n"/>
      <c r="Q41" s="16" t="n"/>
    </row>
    <row r="42" ht="15" customHeight="1">
      <c r="A42" s="8" t="n">
        <v>34</v>
      </c>
      <c r="B42" s="8" t="n">
        <v>200</v>
      </c>
      <c r="C42" s="8" t="n">
        <v>3.0303</v>
      </c>
      <c r="D42" s="8" t="n">
        <v>13.2</v>
      </c>
      <c r="E42" s="8" t="n">
        <v>11.88</v>
      </c>
      <c r="F42" s="8" t="n">
        <v>0.2</v>
      </c>
      <c r="G42" s="8" t="n">
        <v>0.05</v>
      </c>
      <c r="H42" s="8" t="n">
        <v>20000</v>
      </c>
      <c r="I42" s="8" t="inlineStr">
        <is>
          <t>Done</t>
        </is>
      </c>
      <c r="J42" s="9" t="inlineStr">
        <is>
          <t>Completed and logged</t>
        </is>
      </c>
      <c r="K42" s="16" t="n"/>
      <c r="L42" s="16" t="n"/>
      <c r="M42" s="16" t="n"/>
      <c r="N42" s="16" t="n"/>
      <c r="O42" s="16" t="n"/>
      <c r="P42" s="16" t="n"/>
      <c r="Q42" s="16" t="n"/>
    </row>
    <row r="43" ht="15" customHeight="1">
      <c r="A43" s="8" t="n">
        <v>35</v>
      </c>
      <c r="B43" s="8" t="n">
        <v>200</v>
      </c>
      <c r="C43" s="8" t="n">
        <v>3.0303</v>
      </c>
      <c r="D43" s="8" t="n">
        <v>13.2</v>
      </c>
      <c r="E43" s="8" t="n">
        <v>11.88</v>
      </c>
      <c r="F43" s="8" t="n">
        <v>0.2</v>
      </c>
      <c r="G43" s="8" t="n">
        <v>0.05</v>
      </c>
      <c r="H43" s="8" t="n">
        <v>25000</v>
      </c>
      <c r="I43" s="8" t="inlineStr">
        <is>
          <t>Done</t>
        </is>
      </c>
      <c r="J43" s="9" t="inlineStr">
        <is>
          <t>Completed and logged</t>
        </is>
      </c>
      <c r="K43" s="16" t="n"/>
      <c r="L43" s="16" t="n"/>
      <c r="M43" s="16" t="n"/>
      <c r="N43" s="16" t="n"/>
      <c r="O43" s="16" t="n"/>
      <c r="P43" s="16" t="n"/>
      <c r="Q43" s="16" t="n"/>
    </row>
    <row r="44" ht="15" customHeight="1">
      <c r="A44" s="8" t="n">
        <v>36</v>
      </c>
      <c r="B44" s="8" t="n">
        <v>200</v>
      </c>
      <c r="C44" s="8" t="n">
        <v>3.0303</v>
      </c>
      <c r="D44" s="8" t="n">
        <v>13.2</v>
      </c>
      <c r="E44" s="8" t="n">
        <v>11.88</v>
      </c>
      <c r="F44" s="8" t="n">
        <v>0.2</v>
      </c>
      <c r="G44" s="8" t="n">
        <v>0.05</v>
      </c>
      <c r="H44" s="8" t="n">
        <v>30000</v>
      </c>
      <c r="I44" s="8" t="inlineStr">
        <is>
          <t>Done</t>
        </is>
      </c>
      <c r="J44" s="9" t="inlineStr">
        <is>
          <t>Completed and logged</t>
        </is>
      </c>
      <c r="K44" s="16" t="n"/>
      <c r="L44" s="16" t="n"/>
      <c r="M44" s="16" t="n"/>
      <c r="N44" s="16" t="n"/>
      <c r="O44" s="16" t="n"/>
      <c r="P44" s="16" t="n"/>
      <c r="Q44" s="16" t="n"/>
    </row>
    <row r="45" ht="15" customHeight="1">
      <c r="A45" s="8" t="n">
        <v>37</v>
      </c>
      <c r="B45" s="8" t="n">
        <v>200</v>
      </c>
      <c r="C45" s="8" t="n">
        <v>3.0303</v>
      </c>
      <c r="D45" s="8" t="n">
        <v>16.5</v>
      </c>
      <c r="E45" s="8" t="n">
        <v>14.85</v>
      </c>
      <c r="F45" s="8" t="n">
        <v>0.25</v>
      </c>
      <c r="G45" s="8" t="n">
        <v>0.05</v>
      </c>
      <c r="H45" s="8" t="n">
        <v>5000</v>
      </c>
      <c r="I45" s="8" t="inlineStr">
        <is>
          <t>Done</t>
        </is>
      </c>
      <c r="J45" s="9" t="inlineStr">
        <is>
          <t>Completed and logged</t>
        </is>
      </c>
      <c r="K45" s="16" t="n"/>
      <c r="L45" s="16" t="n"/>
      <c r="M45" s="16" t="n"/>
      <c r="N45" s="16" t="n"/>
      <c r="O45" s="16" t="n"/>
      <c r="P45" s="16" t="n"/>
      <c r="Q45" s="16" t="n"/>
    </row>
    <row r="46" ht="15" customHeight="1">
      <c r="A46" s="8" t="n">
        <v>38</v>
      </c>
      <c r="B46" s="8" t="n">
        <v>200</v>
      </c>
      <c r="C46" s="8" t="n">
        <v>3.0303</v>
      </c>
      <c r="D46" s="8" t="n">
        <v>16.5</v>
      </c>
      <c r="E46" s="8" t="n">
        <v>14.85</v>
      </c>
      <c r="F46" s="8" t="n">
        <v>0.25</v>
      </c>
      <c r="G46" s="8" t="n">
        <v>0.05</v>
      </c>
      <c r="H46" s="8" t="n">
        <v>10000</v>
      </c>
      <c r="I46" s="8" t="inlineStr">
        <is>
          <t>Done</t>
        </is>
      </c>
      <c r="J46" s="9" t="inlineStr">
        <is>
          <t>Completed and logged</t>
        </is>
      </c>
      <c r="K46" s="16" t="n"/>
      <c r="L46" s="16" t="n"/>
      <c r="M46" s="16" t="n"/>
      <c r="N46" s="16" t="n"/>
      <c r="O46" s="16" t="n"/>
      <c r="P46" s="16" t="n"/>
      <c r="Q46" s="16" t="n"/>
    </row>
    <row r="47" ht="15" customHeight="1">
      <c r="A47" s="35" t="n">
        <v>39</v>
      </c>
      <c r="B47" s="35" t="n">
        <v>200</v>
      </c>
      <c r="C47" s="35" t="n">
        <v>3.0303</v>
      </c>
      <c r="D47" s="35" t="n">
        <v>16.5</v>
      </c>
      <c r="E47" s="35" t="n">
        <v>14.85</v>
      </c>
      <c r="F47" s="35" t="n">
        <v>0.25</v>
      </c>
      <c r="G47" s="35" t="n">
        <v>0.05</v>
      </c>
      <c r="H47" s="35" t="n">
        <v>15000</v>
      </c>
      <c r="I47" s="36" t="inlineStr">
        <is>
          <t>DIVERGED</t>
        </is>
      </c>
      <c r="J47" s="37" t="inlineStr">
        <is>
          <t>Still diverged — REMAINING, not yet re-run (see Grand Output sheet, case #15)</t>
        </is>
      </c>
      <c r="K47" s="16" t="n"/>
      <c r="L47" s="16" t="n"/>
      <c r="M47" s="16" t="n"/>
      <c r="N47" s="16" t="n"/>
      <c r="O47" s="16" t="n"/>
      <c r="P47" s="16" t="n"/>
      <c r="Q47" s="16" t="n"/>
    </row>
    <row r="48" ht="15" customHeight="1">
      <c r="A48" s="8" t="n">
        <v>40</v>
      </c>
      <c r="B48" s="8" t="n">
        <v>200</v>
      </c>
      <c r="C48" s="8" t="n">
        <v>3.0303</v>
      </c>
      <c r="D48" s="8" t="n">
        <v>16.5</v>
      </c>
      <c r="E48" s="8" t="n">
        <v>14.85</v>
      </c>
      <c r="F48" s="8" t="n">
        <v>0.25</v>
      </c>
      <c r="G48" s="8" t="n">
        <v>0.05</v>
      </c>
      <c r="H48" s="8" t="n">
        <v>20000</v>
      </c>
      <c r="I48" s="8" t="inlineStr">
        <is>
          <t>Done</t>
        </is>
      </c>
      <c r="J48" s="9" t="inlineStr">
        <is>
          <t>Completed and logged</t>
        </is>
      </c>
      <c r="K48" s="16" t="n"/>
      <c r="L48" s="16" t="n"/>
      <c r="M48" s="16" t="n"/>
      <c r="N48" s="16" t="n"/>
      <c r="O48" s="16" t="n"/>
      <c r="P48" s="16" t="n"/>
      <c r="Q48" s="16" t="n"/>
    </row>
    <row r="49" ht="15" customHeight="1">
      <c r="A49" s="8" t="n">
        <v>41</v>
      </c>
      <c r="B49" s="8" t="n">
        <v>200</v>
      </c>
      <c r="C49" s="8" t="n">
        <v>3.0303</v>
      </c>
      <c r="D49" s="8" t="n">
        <v>16.5</v>
      </c>
      <c r="E49" s="8" t="n">
        <v>14.85</v>
      </c>
      <c r="F49" s="8" t="n">
        <v>0.25</v>
      </c>
      <c r="G49" s="8" t="n">
        <v>0.05</v>
      </c>
      <c r="H49" s="8" t="n">
        <v>25000</v>
      </c>
      <c r="I49" s="8" t="inlineStr">
        <is>
          <t>Done</t>
        </is>
      </c>
      <c r="J49" s="9" t="inlineStr">
        <is>
          <t>Completed and logged</t>
        </is>
      </c>
      <c r="K49" s="16" t="n"/>
      <c r="L49" s="16" t="n"/>
      <c r="M49" s="16" t="n"/>
      <c r="N49" s="16" t="n"/>
      <c r="O49" s="16" t="n"/>
      <c r="P49" s="16" t="n"/>
      <c r="Q49" s="16" t="n"/>
    </row>
    <row r="50" ht="15" customHeight="1">
      <c r="A50" s="8" t="n">
        <v>42</v>
      </c>
      <c r="B50" s="8" t="n">
        <v>200</v>
      </c>
      <c r="C50" s="8" t="n">
        <v>3.0303</v>
      </c>
      <c r="D50" s="8" t="n">
        <v>16.5</v>
      </c>
      <c r="E50" s="8" t="n">
        <v>14.85</v>
      </c>
      <c r="F50" s="8" t="n">
        <v>0.25</v>
      </c>
      <c r="G50" s="8" t="n">
        <v>0.05</v>
      </c>
      <c r="H50" s="8" t="n">
        <v>30000</v>
      </c>
      <c r="I50" s="8" t="inlineStr">
        <is>
          <t>Done</t>
        </is>
      </c>
      <c r="J50" s="9" t="inlineStr">
        <is>
          <t>Completed and logged</t>
        </is>
      </c>
      <c r="K50" s="16" t="n"/>
      <c r="L50" s="16" t="n"/>
      <c r="M50" s="16" t="n"/>
      <c r="N50" s="16" t="n"/>
      <c r="O50" s="16" t="n"/>
      <c r="P50" s="16" t="n"/>
      <c r="Q50" s="16" t="n"/>
    </row>
    <row r="51" ht="18" customHeight="1">
      <c r="A51" s="10" t="inlineStr">
        <is>
          <t>Result: dpo/dti = 0.25 selected (tentative) — highest PEC at 4 of the 5 valid Re points; 15K Re run diverged, excluded, re-run still pending.</t>
        </is>
      </c>
      <c r="B51" s="13" t="n"/>
      <c r="C51" s="13" t="n"/>
      <c r="D51" s="13" t="n"/>
      <c r="E51" s="13" t="n"/>
      <c r="F51" s="13" t="n"/>
      <c r="G51" s="13" t="n"/>
      <c r="H51" s="13" t="n"/>
      <c r="I51" s="13" t="n"/>
      <c r="J51" s="14" t="n"/>
      <c r="K51" s="16" t="n"/>
      <c r="L51" s="16" t="n"/>
      <c r="M51" s="16" t="n"/>
      <c r="N51" s="16" t="n"/>
      <c r="O51" s="16" t="n"/>
      <c r="P51" s="16" t="n"/>
      <c r="Q51" s="16" t="n"/>
    </row>
    <row r="52">
      <c r="A52" s="3" t="inlineStr">
        <is>
          <t>Stage 3 — Wall Thickness Screening (Pt = 200 mm, dpo/dti = 0.25 — Stage 2 winner)</t>
        </is>
      </c>
      <c r="B52" s="13" t="n"/>
      <c r="C52" s="13" t="n"/>
      <c r="D52" s="13" t="n"/>
      <c r="E52" s="13" t="n"/>
      <c r="F52" s="13" t="n"/>
      <c r="G52" s="13" t="n"/>
      <c r="H52" s="13" t="n"/>
      <c r="I52" s="13" t="n"/>
      <c r="J52" s="14" t="n"/>
      <c r="K52" s="16" t="n"/>
      <c r="L52" s="16" t="n"/>
      <c r="M52" s="16" t="n"/>
      <c r="N52" s="16" t="n"/>
      <c r="O52" s="16" t="n"/>
      <c r="P52" s="16" t="n"/>
      <c r="Q52" s="16" t="n"/>
    </row>
    <row r="53" ht="30" customHeight="1">
      <c r="A53" s="7" t="inlineStr">
        <is>
          <t>Note — wall ratio = 0.05 is the SAME geometry already run in Stage 2 (dpo = 16.5 mm) — no new runs needed for that level; reuse those 6 rows above as this stage's Level-1 point.</t>
        </is>
      </c>
      <c r="B53" s="13" t="n"/>
      <c r="C53" s="13" t="n"/>
      <c r="D53" s="13" t="n"/>
      <c r="E53" s="13" t="n"/>
      <c r="F53" s="13" t="n"/>
      <c r="G53" s="13" t="n"/>
      <c r="H53" s="13" t="n"/>
      <c r="I53" s="13" t="n"/>
      <c r="J53" s="14" t="n"/>
      <c r="K53" s="16" t="n"/>
      <c r="L53" s="16" t="n"/>
      <c r="M53" s="16" t="n"/>
      <c r="N53" s="16" t="n"/>
      <c r="O53" s="16" t="n"/>
      <c r="P53" s="16" t="n"/>
      <c r="Q53" s="16" t="n"/>
    </row>
    <row r="54" ht="15" customHeight="1">
      <c r="A54" s="8" t="n">
        <v>43</v>
      </c>
      <c r="B54" s="8" t="n">
        <v>200</v>
      </c>
      <c r="C54" s="8" t="n">
        <v>3.0303</v>
      </c>
      <c r="D54" s="8" t="n">
        <v>16.5</v>
      </c>
      <c r="E54" s="8" t="n">
        <v>13.2</v>
      </c>
      <c r="F54" s="8" t="n">
        <v>0.25</v>
      </c>
      <c r="G54" s="8" t="n">
        <v>0.1</v>
      </c>
      <c r="H54" s="8" t="n">
        <v>5000</v>
      </c>
      <c r="I54" s="8" t="inlineStr">
        <is>
          <t>Done</t>
        </is>
      </c>
      <c r="J54" s="9" t="inlineStr">
        <is>
          <t>Completed and logged</t>
        </is>
      </c>
      <c r="K54" s="16" t="n"/>
      <c r="L54" s="16" t="n"/>
      <c r="M54" s="16" t="n"/>
      <c r="N54" s="16" t="n"/>
      <c r="O54" s="16" t="n"/>
      <c r="P54" s="16" t="n"/>
      <c r="Q54" s="16" t="n"/>
    </row>
    <row r="55" ht="15" customHeight="1">
      <c r="A55" s="8" t="n">
        <v>44</v>
      </c>
      <c r="B55" s="8" t="n">
        <v>200</v>
      </c>
      <c r="C55" s="8" t="n">
        <v>3.0303</v>
      </c>
      <c r="D55" s="8" t="n">
        <v>16.5</v>
      </c>
      <c r="E55" s="8" t="n">
        <v>13.2</v>
      </c>
      <c r="F55" s="8" t="n">
        <v>0.25</v>
      </c>
      <c r="G55" s="8" t="n">
        <v>0.1</v>
      </c>
      <c r="H55" s="8" t="n">
        <v>10000</v>
      </c>
      <c r="I55" s="8" t="inlineStr">
        <is>
          <t>Done</t>
        </is>
      </c>
      <c r="J55" s="9" t="inlineStr">
        <is>
          <t>Completed and logged</t>
        </is>
      </c>
      <c r="K55" s="16" t="n"/>
      <c r="L55" s="16" t="n"/>
      <c r="M55" s="16" t="n"/>
      <c r="N55" s="16" t="n"/>
      <c r="O55" s="16" t="n"/>
      <c r="P55" s="16" t="n"/>
      <c r="Q55" s="16" t="n"/>
    </row>
    <row r="56" ht="15" customHeight="1">
      <c r="A56" s="8" t="n">
        <v>45</v>
      </c>
      <c r="B56" s="8" t="n">
        <v>200</v>
      </c>
      <c r="C56" s="8" t="n">
        <v>3.0303</v>
      </c>
      <c r="D56" s="8" t="n">
        <v>16.5</v>
      </c>
      <c r="E56" s="8" t="n">
        <v>13.2</v>
      </c>
      <c r="F56" s="8" t="n">
        <v>0.25</v>
      </c>
      <c r="G56" s="8" t="n">
        <v>0.1</v>
      </c>
      <c r="H56" s="8" t="n">
        <v>15000</v>
      </c>
      <c r="I56" s="8" t="inlineStr">
        <is>
          <t>Done</t>
        </is>
      </c>
      <c r="J56" s="9" t="inlineStr">
        <is>
          <t>Completed and logged</t>
        </is>
      </c>
      <c r="K56" s="16" t="n"/>
      <c r="L56" s="16" t="n"/>
      <c r="M56" s="16" t="n"/>
      <c r="N56" s="16" t="n"/>
      <c r="O56" s="16" t="n"/>
      <c r="P56" s="16" t="n"/>
      <c r="Q56" s="16" t="n"/>
    </row>
    <row r="57" ht="15" customHeight="1">
      <c r="A57" s="8" t="n">
        <v>46</v>
      </c>
      <c r="B57" s="8" t="n">
        <v>200</v>
      </c>
      <c r="C57" s="8" t="n">
        <v>3.0303</v>
      </c>
      <c r="D57" s="8" t="n">
        <v>16.5</v>
      </c>
      <c r="E57" s="8" t="n">
        <v>13.2</v>
      </c>
      <c r="F57" s="8" t="n">
        <v>0.25</v>
      </c>
      <c r="G57" s="8" t="n">
        <v>0.1</v>
      </c>
      <c r="H57" s="8" t="n">
        <v>20000</v>
      </c>
      <c r="I57" s="8" t="inlineStr">
        <is>
          <t>Done</t>
        </is>
      </c>
      <c r="J57" s="9" t="inlineStr">
        <is>
          <t>Completed and logged</t>
        </is>
      </c>
      <c r="K57" s="16" t="n"/>
      <c r="L57" s="16" t="n"/>
      <c r="M57" s="16" t="n"/>
      <c r="N57" s="16" t="n"/>
      <c r="O57" s="16" t="n"/>
      <c r="P57" s="16" t="n"/>
      <c r="Q57" s="16" t="n"/>
    </row>
    <row r="58" ht="15" customHeight="1">
      <c r="A58" s="8" t="n">
        <v>47</v>
      </c>
      <c r="B58" s="8" t="n">
        <v>200</v>
      </c>
      <c r="C58" s="8" t="n">
        <v>3.0303</v>
      </c>
      <c r="D58" s="8" t="n">
        <v>16.5</v>
      </c>
      <c r="E58" s="8" t="n">
        <v>13.2</v>
      </c>
      <c r="F58" s="8" t="n">
        <v>0.25</v>
      </c>
      <c r="G58" s="8" t="n">
        <v>0.1</v>
      </c>
      <c r="H58" s="8" t="n">
        <v>25000</v>
      </c>
      <c r="I58" s="21" t="inlineStr">
        <is>
          <t>Done</t>
        </is>
      </c>
      <c r="J58" s="9" t="inlineStr">
        <is>
          <t>FIXED 2026-10-04 — transient (50 steps, dt=1e-4s) then switched to Steady; converged cleanly. See Grand Output sheet, case #23.</t>
        </is>
      </c>
      <c r="K58" s="16" t="n"/>
      <c r="L58" s="16" t="n"/>
      <c r="M58" s="16" t="n"/>
      <c r="N58" s="16" t="n"/>
      <c r="O58" s="16" t="n"/>
      <c r="P58" s="16" t="n"/>
      <c r="Q58" s="16" t="n"/>
    </row>
    <row r="59" ht="15" customHeight="1">
      <c r="A59" s="8" t="n">
        <v>48</v>
      </c>
      <c r="B59" s="8" t="n">
        <v>200</v>
      </c>
      <c r="C59" s="8" t="n">
        <v>3.0303</v>
      </c>
      <c r="D59" s="8" t="n">
        <v>16.5</v>
      </c>
      <c r="E59" s="8" t="n">
        <v>13.2</v>
      </c>
      <c r="F59" s="8" t="n">
        <v>0.25</v>
      </c>
      <c r="G59" s="8" t="n">
        <v>0.1</v>
      </c>
      <c r="H59" s="8" t="n">
        <v>30000</v>
      </c>
      <c r="I59" s="8" t="inlineStr">
        <is>
          <t>Done</t>
        </is>
      </c>
      <c r="J59" s="9" t="inlineStr">
        <is>
          <t>Completed and logged</t>
        </is>
      </c>
      <c r="K59" s="16" t="n"/>
      <c r="L59" s="16" t="n"/>
      <c r="M59" s="16" t="n"/>
      <c r="N59" s="16" t="n"/>
      <c r="O59" s="16" t="n"/>
      <c r="P59" s="16" t="n"/>
      <c r="Q59" s="16" t="n"/>
    </row>
    <row r="60" ht="15" customHeight="1">
      <c r="A60" s="8" t="n">
        <v>49</v>
      </c>
      <c r="B60" s="8" t="n">
        <v>200</v>
      </c>
      <c r="C60" s="8" t="n">
        <v>3.0303</v>
      </c>
      <c r="D60" s="8" t="n">
        <v>16.5</v>
      </c>
      <c r="E60" s="8" t="n">
        <v>11.55</v>
      </c>
      <c r="F60" s="8" t="n">
        <v>0.25</v>
      </c>
      <c r="G60" s="8" t="n">
        <v>0.15</v>
      </c>
      <c r="H60" s="8" t="n">
        <v>5000</v>
      </c>
      <c r="I60" s="8" t="inlineStr">
        <is>
          <t>Done</t>
        </is>
      </c>
      <c r="J60" s="9" t="inlineStr">
        <is>
          <t>Completed and logged</t>
        </is>
      </c>
      <c r="K60" s="16" t="n"/>
      <c r="L60" s="16" t="n"/>
      <c r="M60" s="16" t="n"/>
      <c r="N60" s="16" t="n"/>
      <c r="O60" s="16" t="n"/>
      <c r="P60" s="16" t="n"/>
      <c r="Q60" s="16" t="n"/>
    </row>
    <row r="61" ht="15" customHeight="1">
      <c r="A61" s="8" t="n">
        <v>50</v>
      </c>
      <c r="B61" s="8" t="n">
        <v>200</v>
      </c>
      <c r="C61" s="8" t="n">
        <v>3.0303</v>
      </c>
      <c r="D61" s="8" t="n">
        <v>16.5</v>
      </c>
      <c r="E61" s="8" t="n">
        <v>11.55</v>
      </c>
      <c r="F61" s="8" t="n">
        <v>0.25</v>
      </c>
      <c r="G61" s="8" t="n">
        <v>0.15</v>
      </c>
      <c r="H61" s="8" t="n">
        <v>10000</v>
      </c>
      <c r="I61" s="8" t="inlineStr">
        <is>
          <t>Done</t>
        </is>
      </c>
      <c r="J61" s="9" t="inlineStr">
        <is>
          <t>Completed and logged</t>
        </is>
      </c>
      <c r="K61" s="16" t="n"/>
      <c r="L61" s="16" t="n"/>
      <c r="M61" s="16" t="n"/>
      <c r="N61" s="16" t="n"/>
      <c r="O61" s="16" t="n"/>
      <c r="P61" s="16" t="n"/>
      <c r="Q61" s="16" t="n"/>
    </row>
    <row r="62" ht="15" customHeight="1">
      <c r="A62" s="8" t="n">
        <v>51</v>
      </c>
      <c r="B62" s="8" t="n">
        <v>200</v>
      </c>
      <c r="C62" s="8" t="n">
        <v>3.0303</v>
      </c>
      <c r="D62" s="8" t="n">
        <v>16.5</v>
      </c>
      <c r="E62" s="8" t="n">
        <v>11.55</v>
      </c>
      <c r="F62" s="8" t="n">
        <v>0.25</v>
      </c>
      <c r="G62" s="8" t="n">
        <v>0.15</v>
      </c>
      <c r="H62" s="8" t="n">
        <v>15000</v>
      </c>
      <c r="I62" s="8" t="inlineStr">
        <is>
          <t>Done</t>
        </is>
      </c>
      <c r="J62" s="9" t="inlineStr">
        <is>
          <t>Completed and logged</t>
        </is>
      </c>
      <c r="K62" s="16" t="n"/>
      <c r="L62" s="16" t="n"/>
      <c r="M62" s="16" t="n"/>
      <c r="N62" s="16" t="n"/>
      <c r="O62" s="16" t="n"/>
      <c r="P62" s="16" t="n"/>
      <c r="Q62" s="16" t="n"/>
    </row>
    <row r="63" ht="15" customHeight="1">
      <c r="A63" s="8" t="n">
        <v>52</v>
      </c>
      <c r="B63" s="8" t="n">
        <v>200</v>
      </c>
      <c r="C63" s="8" t="n">
        <v>3.0303</v>
      </c>
      <c r="D63" s="8" t="n">
        <v>16.5</v>
      </c>
      <c r="E63" s="8" t="n">
        <v>11.55</v>
      </c>
      <c r="F63" s="8" t="n">
        <v>0.25</v>
      </c>
      <c r="G63" s="8" t="n">
        <v>0.15</v>
      </c>
      <c r="H63" s="8" t="n">
        <v>20000</v>
      </c>
      <c r="I63" s="21" t="inlineStr">
        <is>
          <t>Done</t>
        </is>
      </c>
      <c r="J63" s="9" t="inlineStr">
        <is>
          <t>FIXED 2026-10-04 — same transient-then-Steady fix; converged cleanly. See Grand Output sheet, case #28.</t>
        </is>
      </c>
      <c r="K63" s="16" t="n"/>
      <c r="L63" s="16" t="n"/>
      <c r="M63" s="16" t="n"/>
      <c r="N63" s="16" t="n"/>
      <c r="O63" s="16" t="n"/>
      <c r="P63" s="16" t="n"/>
      <c r="Q63" s="16" t="n"/>
    </row>
    <row r="64" ht="15" customHeight="1">
      <c r="A64" s="8" t="n">
        <v>53</v>
      </c>
      <c r="B64" s="8" t="n">
        <v>200</v>
      </c>
      <c r="C64" s="8" t="n">
        <v>3.0303</v>
      </c>
      <c r="D64" s="8" t="n">
        <v>16.5</v>
      </c>
      <c r="E64" s="8" t="n">
        <v>11.55</v>
      </c>
      <c r="F64" s="8" t="n">
        <v>0.25</v>
      </c>
      <c r="G64" s="8" t="n">
        <v>0.15</v>
      </c>
      <c r="H64" s="8" t="n">
        <v>25000</v>
      </c>
      <c r="I64" s="8" t="inlineStr">
        <is>
          <t>Done</t>
        </is>
      </c>
      <c r="J64" s="9" t="inlineStr">
        <is>
          <t>Completed and logged</t>
        </is>
      </c>
      <c r="K64" s="16" t="n"/>
      <c r="L64" s="16" t="n"/>
      <c r="M64" s="16" t="n"/>
      <c r="N64" s="16" t="n"/>
      <c r="O64" s="16" t="n"/>
      <c r="P64" s="16" t="n"/>
      <c r="Q64" s="16" t="n"/>
    </row>
    <row r="65" ht="15" customHeight="1">
      <c r="A65" s="35" t="n">
        <v>54</v>
      </c>
      <c r="B65" s="35" t="n">
        <v>200</v>
      </c>
      <c r="C65" s="35" t="n">
        <v>3.0303</v>
      </c>
      <c r="D65" s="35" t="n">
        <v>16.5</v>
      </c>
      <c r="E65" s="35" t="n">
        <v>11.55</v>
      </c>
      <c r="F65" s="35" t="n">
        <v>0.25</v>
      </c>
      <c r="G65" s="35" t="n">
        <v>0.15</v>
      </c>
      <c r="H65" s="35" t="n">
        <v>30000</v>
      </c>
      <c r="I65" s="36" t="inlineStr">
        <is>
          <t>NOT RUN</t>
        </is>
      </c>
      <c r="J65" s="37" t="inlineStr">
        <is>
          <t>REMAINING — no valid data yet, not yet re-run (see Grand Output sheet, case #30)</t>
        </is>
      </c>
      <c r="K65" s="16" t="n"/>
      <c r="L65" s="16" t="n"/>
      <c r="M65" s="16" t="n"/>
      <c r="N65" s="16" t="n"/>
      <c r="O65" s="16" t="n"/>
      <c r="P65" s="16" t="n"/>
      <c r="Q65" s="16" t="n"/>
    </row>
    <row r="67" ht="18" customHeight="1">
      <c r="A67" s="3" t="inlineStr">
        <is>
          <t>Stage 4 — Hybrid Nanofluid Type Screening (Pt=200mm confirmed; dpo/dti=0.25 tentative; tp/dpo still TBD — 4 diverged Stage-3 reruns in progress)</t>
        </is>
      </c>
      <c r="B67" s="13" t="n"/>
      <c r="C67" s="13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n"/>
      <c r="P67" s="13" t="n"/>
      <c r="Q67" s="14" t="n"/>
    </row>
    <row r="68" ht="45" customHeight="1">
      <c r="A68" s="7" t="inlineStr">
        <is>
          <t>phi=2.0% fixed for all three nanofluids at this stage (matches the reference/mirror thesis’s own screening condition) — winner nanofluid moves to its own concentration sweep (0.5%/1.0%/2.0%) afterward. Properties via mirror-thesis model: density/Cp mixing (Eq 3.37/3.38) + Maxwell conductivity with Chamkha-weighted k_hnp + Brinkman viscosity.</t>
        </is>
      </c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4" t="n"/>
    </row>
    <row r="69" ht="15" customHeight="1">
      <c r="A69" s="21" t="n">
        <v>55</v>
      </c>
      <c r="B69" s="21" t="n">
        <v>200</v>
      </c>
      <c r="C69" s="21" t="n">
        <v>3.0303</v>
      </c>
      <c r="D69" s="21" t="n">
        <v>16.5</v>
      </c>
      <c r="E69" s="21" t="inlineStr">
        <is>
          <t>TBD</t>
        </is>
      </c>
      <c r="F69" s="21" t="inlineStr">
        <is>
          <t>0.25 (tentative)</t>
        </is>
      </c>
      <c r="G69" s="21" t="inlineStr">
        <is>
          <t>TBD (reruns in progress)</t>
        </is>
      </c>
      <c r="H69" s="21" t="n">
        <v>5000</v>
      </c>
      <c r="I69" s="21" t="inlineStr">
        <is>
          <t>Ready</t>
        </is>
      </c>
      <c r="J69" s="9" t="inlineStr">
        <is>
          <t>Properties fully sourced — Mohammed et al. (2022) Table 6 + Chamkha k_hnp</t>
        </is>
      </c>
      <c r="K69" s="21" t="inlineStr">
        <is>
          <t>Fe2O3-GO</t>
        </is>
      </c>
      <c r="L69" s="21" t="n">
        <v>2</v>
      </c>
      <c r="M69" s="21" t="inlineStr">
        <is>
          <t>50:50</t>
        </is>
      </c>
      <c r="N69" s="21" t="n">
        <v>802.0599999999999</v>
      </c>
      <c r="O69" s="21" t="n">
        <v>1850.62</v>
      </c>
      <c r="P69" s="21" t="n">
        <v>0.10198</v>
      </c>
      <c r="Q69" s="21" t="n">
        <v>0.0008835</v>
      </c>
    </row>
    <row r="70" ht="15" customHeight="1">
      <c r="A70" s="21" t="n">
        <v>56</v>
      </c>
      <c r="B70" s="21" t="n">
        <v>200</v>
      </c>
      <c r="C70" s="21" t="n">
        <v>3.0303</v>
      </c>
      <c r="D70" s="21" t="n">
        <v>16.5</v>
      </c>
      <c r="E70" s="21" t="inlineStr">
        <is>
          <t>TBD</t>
        </is>
      </c>
      <c r="F70" s="21" t="inlineStr">
        <is>
          <t>0.25 (tentative)</t>
        </is>
      </c>
      <c r="G70" s="21" t="inlineStr">
        <is>
          <t>TBD (reruns in progress)</t>
        </is>
      </c>
      <c r="H70" s="21" t="n">
        <v>10000</v>
      </c>
      <c r="I70" s="21" t="inlineStr">
        <is>
          <t>Ready</t>
        </is>
      </c>
      <c r="J70" s="9" t="inlineStr">
        <is>
          <t>Properties fully sourced — Mohammed et al. (2022) Table 6 + Chamkha k_hnp</t>
        </is>
      </c>
      <c r="K70" s="21" t="inlineStr">
        <is>
          <t>Fe2O3-GO</t>
        </is>
      </c>
      <c r="L70" s="21" t="n">
        <v>2</v>
      </c>
      <c r="M70" s="21" t="inlineStr">
        <is>
          <t>50:50</t>
        </is>
      </c>
      <c r="N70" s="21" t="n">
        <v>802.0599999999999</v>
      </c>
      <c r="O70" s="21" t="n">
        <v>1850.62</v>
      </c>
      <c r="P70" s="21" t="n">
        <v>0.10198</v>
      </c>
      <c r="Q70" s="21" t="n">
        <v>0.0008835</v>
      </c>
    </row>
    <row r="71" ht="15" customHeight="1">
      <c r="A71" s="21" t="n">
        <v>57</v>
      </c>
      <c r="B71" s="21" t="n">
        <v>200</v>
      </c>
      <c r="C71" s="21" t="n">
        <v>3.0303</v>
      </c>
      <c r="D71" s="21" t="n">
        <v>16.5</v>
      </c>
      <c r="E71" s="21" t="inlineStr">
        <is>
          <t>TBD</t>
        </is>
      </c>
      <c r="F71" s="21" t="inlineStr">
        <is>
          <t>0.25 (tentative)</t>
        </is>
      </c>
      <c r="G71" s="21" t="inlineStr">
        <is>
          <t>TBD (reruns in progress)</t>
        </is>
      </c>
      <c r="H71" s="21" t="n">
        <v>15000</v>
      </c>
      <c r="I71" s="21" t="inlineStr">
        <is>
          <t>Ready</t>
        </is>
      </c>
      <c r="J71" s="9" t="inlineStr">
        <is>
          <t>Properties fully sourced — Mohammed et al. (2022) Table 6 + Chamkha k_hnp</t>
        </is>
      </c>
      <c r="K71" s="21" t="inlineStr">
        <is>
          <t>Fe2O3-GO</t>
        </is>
      </c>
      <c r="L71" s="21" t="n">
        <v>2</v>
      </c>
      <c r="M71" s="21" t="inlineStr">
        <is>
          <t>50:50</t>
        </is>
      </c>
      <c r="N71" s="21" t="n">
        <v>802.0599999999999</v>
      </c>
      <c r="O71" s="21" t="n">
        <v>1850.62</v>
      </c>
      <c r="P71" s="21" t="n">
        <v>0.10198</v>
      </c>
      <c r="Q71" s="21" t="n">
        <v>0.0008835</v>
      </c>
    </row>
    <row r="72" ht="15" customHeight="1">
      <c r="A72" s="21" t="n">
        <v>58</v>
      </c>
      <c r="B72" s="21" t="n">
        <v>200</v>
      </c>
      <c r="C72" s="21" t="n">
        <v>3.0303</v>
      </c>
      <c r="D72" s="21" t="n">
        <v>16.5</v>
      </c>
      <c r="E72" s="21" t="inlineStr">
        <is>
          <t>TBD</t>
        </is>
      </c>
      <c r="F72" s="21" t="inlineStr">
        <is>
          <t>0.25 (tentative)</t>
        </is>
      </c>
      <c r="G72" s="21" t="inlineStr">
        <is>
          <t>TBD (reruns in progress)</t>
        </is>
      </c>
      <c r="H72" s="21" t="n">
        <v>20000</v>
      </c>
      <c r="I72" s="21" t="inlineStr">
        <is>
          <t>Ready</t>
        </is>
      </c>
      <c r="J72" s="9" t="inlineStr">
        <is>
          <t>Properties fully sourced — Mohammed et al. (2022) Table 6 + Chamkha k_hnp</t>
        </is>
      </c>
      <c r="K72" s="21" t="inlineStr">
        <is>
          <t>Fe2O3-GO</t>
        </is>
      </c>
      <c r="L72" s="21" t="n">
        <v>2</v>
      </c>
      <c r="M72" s="21" t="inlineStr">
        <is>
          <t>50:50</t>
        </is>
      </c>
      <c r="N72" s="21" t="n">
        <v>802.0599999999999</v>
      </c>
      <c r="O72" s="21" t="n">
        <v>1850.62</v>
      </c>
      <c r="P72" s="21" t="n">
        <v>0.10198</v>
      </c>
      <c r="Q72" s="21" t="n">
        <v>0.0008835</v>
      </c>
    </row>
    <row r="73" ht="15" customHeight="1">
      <c r="A73" s="21" t="n">
        <v>59</v>
      </c>
      <c r="B73" s="21" t="n">
        <v>200</v>
      </c>
      <c r="C73" s="21" t="n">
        <v>3.0303</v>
      </c>
      <c r="D73" s="21" t="n">
        <v>16.5</v>
      </c>
      <c r="E73" s="21" t="inlineStr">
        <is>
          <t>TBD</t>
        </is>
      </c>
      <c r="F73" s="21" t="inlineStr">
        <is>
          <t>0.25 (tentative)</t>
        </is>
      </c>
      <c r="G73" s="21" t="inlineStr">
        <is>
          <t>TBD (reruns in progress)</t>
        </is>
      </c>
      <c r="H73" s="21" t="n">
        <v>25000</v>
      </c>
      <c r="I73" s="21" t="inlineStr">
        <is>
          <t>Ready</t>
        </is>
      </c>
      <c r="J73" s="9" t="inlineStr">
        <is>
          <t>Properties fully sourced — Mohammed et al. (2022) Table 6 + Chamkha k_hnp</t>
        </is>
      </c>
      <c r="K73" s="21" t="inlineStr">
        <is>
          <t>Fe2O3-GO</t>
        </is>
      </c>
      <c r="L73" s="21" t="n">
        <v>2</v>
      </c>
      <c r="M73" s="21" t="inlineStr">
        <is>
          <t>50:50</t>
        </is>
      </c>
      <c r="N73" s="21" t="n">
        <v>802.0599999999999</v>
      </c>
      <c r="O73" s="21" t="n">
        <v>1850.62</v>
      </c>
      <c r="P73" s="21" t="n">
        <v>0.10198</v>
      </c>
      <c r="Q73" s="21" t="n">
        <v>0.0008835</v>
      </c>
    </row>
    <row r="74" ht="15" customHeight="1">
      <c r="A74" s="21" t="n">
        <v>60</v>
      </c>
      <c r="B74" s="21" t="n">
        <v>200</v>
      </c>
      <c r="C74" s="21" t="n">
        <v>3.0303</v>
      </c>
      <c r="D74" s="21" t="n">
        <v>16.5</v>
      </c>
      <c r="E74" s="21" t="inlineStr">
        <is>
          <t>TBD</t>
        </is>
      </c>
      <c r="F74" s="21" t="inlineStr">
        <is>
          <t>0.25 (tentative)</t>
        </is>
      </c>
      <c r="G74" s="21" t="inlineStr">
        <is>
          <t>TBD (reruns in progress)</t>
        </is>
      </c>
      <c r="H74" s="21" t="n">
        <v>30000</v>
      </c>
      <c r="I74" s="21" t="inlineStr">
        <is>
          <t>Ready</t>
        </is>
      </c>
      <c r="J74" s="9" t="inlineStr">
        <is>
          <t>Properties fully sourced — Mohammed et al. (2022) Table 6 + Chamkha k_hnp</t>
        </is>
      </c>
      <c r="K74" s="21" t="inlineStr">
        <is>
          <t>Fe2O3-GO</t>
        </is>
      </c>
      <c r="L74" s="21" t="n">
        <v>2</v>
      </c>
      <c r="M74" s="21" t="inlineStr">
        <is>
          <t>50:50</t>
        </is>
      </c>
      <c r="N74" s="21" t="n">
        <v>802.0599999999999</v>
      </c>
      <c r="O74" s="21" t="n">
        <v>1850.62</v>
      </c>
      <c r="P74" s="21" t="n">
        <v>0.10198</v>
      </c>
      <c r="Q74" s="21" t="n">
        <v>0.0008835</v>
      </c>
    </row>
    <row r="75" ht="15" customHeight="1">
      <c r="A75" s="24" t="n">
        <v>61</v>
      </c>
      <c r="B75" s="24" t="n">
        <v>200</v>
      </c>
      <c r="C75" s="24" t="n">
        <v>3.0303</v>
      </c>
      <c r="D75" s="24" t="n">
        <v>16.5</v>
      </c>
      <c r="E75" s="24" t="inlineStr">
        <is>
          <t>TBD</t>
        </is>
      </c>
      <c r="F75" s="24" t="inlineStr">
        <is>
          <t>0.25 (tentative)</t>
        </is>
      </c>
      <c r="G75" s="24" t="inlineStr">
        <is>
          <t>TBD (reruns in progress)</t>
        </is>
      </c>
      <c r="H75" s="24" t="n">
        <v>5000</v>
      </c>
      <c r="I75" s="21" t="inlineStr">
        <is>
          <t>Ready</t>
        </is>
      </c>
      <c r="J75" s="9" t="inlineStr">
        <is>
          <t>Properties fully sourced 2026-10-07 — Al2O3: rho/Cp universal literature std, k=40 nanofluid-CFD convention. MWCNT: rho/Cp cross-checked (2+ sources), k=3000 is individual-tube/field-convention value (bulk bundle k~200 W/mK also documented — flagged, not an error).</t>
        </is>
      </c>
      <c r="K75" s="24" t="inlineStr">
        <is>
          <t>Al2O3-MWCNT</t>
        </is>
      </c>
      <c r="L75" s="24" t="n">
        <v>2</v>
      </c>
      <c r="M75" s="24" t="inlineStr">
        <is>
          <t>50:50 (assumed)</t>
        </is>
      </c>
      <c r="N75" s="21" t="n">
        <v>792.96</v>
      </c>
      <c r="O75" s="21" t="n">
        <v>1871.19</v>
      </c>
      <c r="P75" s="21" t="n">
        <v>0.10198</v>
      </c>
      <c r="Q75" s="21" t="n">
        <v>0.0008835</v>
      </c>
    </row>
    <row r="76" ht="15" customHeight="1">
      <c r="A76" s="24" t="n">
        <v>62</v>
      </c>
      <c r="B76" s="24" t="n">
        <v>200</v>
      </c>
      <c r="C76" s="24" t="n">
        <v>3.0303</v>
      </c>
      <c r="D76" s="24" t="n">
        <v>16.5</v>
      </c>
      <c r="E76" s="24" t="inlineStr">
        <is>
          <t>TBD</t>
        </is>
      </c>
      <c r="F76" s="24" t="inlineStr">
        <is>
          <t>0.25 (tentative)</t>
        </is>
      </c>
      <c r="G76" s="24" t="inlineStr">
        <is>
          <t>TBD (reruns in progress)</t>
        </is>
      </c>
      <c r="H76" s="24" t="n">
        <v>10000</v>
      </c>
      <c r="I76" s="21" t="inlineStr">
        <is>
          <t>Ready</t>
        </is>
      </c>
      <c r="J76" s="9" t="inlineStr">
        <is>
          <t>Properties fully sourced 2026-10-07 — Al2O3: rho/Cp universal literature std, k=40 nanofluid-CFD convention. MWCNT: rho/Cp cross-checked (2+ sources), k=3000 is individual-tube/field-convention value (bulk bundle k~200 W/mK also documented — flagged, not an error).</t>
        </is>
      </c>
      <c r="K76" s="24" t="inlineStr">
        <is>
          <t>Al2O3-MWCNT</t>
        </is>
      </c>
      <c r="L76" s="24" t="n">
        <v>2</v>
      </c>
      <c r="M76" s="24" t="inlineStr">
        <is>
          <t>50:50 (assumed)</t>
        </is>
      </c>
      <c r="N76" s="21" t="n">
        <v>792.96</v>
      </c>
      <c r="O76" s="21" t="n">
        <v>1871.19</v>
      </c>
      <c r="P76" s="21" t="n">
        <v>0.10198</v>
      </c>
      <c r="Q76" s="21" t="n">
        <v>0.0008835</v>
      </c>
    </row>
    <row r="77" ht="15" customHeight="1">
      <c r="A77" s="24" t="n">
        <v>63</v>
      </c>
      <c r="B77" s="24" t="n">
        <v>200</v>
      </c>
      <c r="C77" s="24" t="n">
        <v>3.0303</v>
      </c>
      <c r="D77" s="24" t="n">
        <v>16.5</v>
      </c>
      <c r="E77" s="24" t="inlineStr">
        <is>
          <t>TBD</t>
        </is>
      </c>
      <c r="F77" s="24" t="inlineStr">
        <is>
          <t>0.25 (tentative)</t>
        </is>
      </c>
      <c r="G77" s="24" t="inlineStr">
        <is>
          <t>TBD (reruns in progress)</t>
        </is>
      </c>
      <c r="H77" s="24" t="n">
        <v>15000</v>
      </c>
      <c r="I77" s="21" t="inlineStr">
        <is>
          <t>Ready</t>
        </is>
      </c>
      <c r="J77" s="9" t="inlineStr">
        <is>
          <t>Properties fully sourced 2026-10-07 — Al2O3: rho/Cp universal literature std, k=40 nanofluid-CFD convention. MWCNT: rho/Cp cross-checked (2+ sources), k=3000 is individual-tube/field-convention value (bulk bundle k~200 W/mK also documented — flagged, not an error).</t>
        </is>
      </c>
      <c r="K77" s="24" t="inlineStr">
        <is>
          <t>Al2O3-MWCNT</t>
        </is>
      </c>
      <c r="L77" s="24" t="n">
        <v>2</v>
      </c>
      <c r="M77" s="24" t="inlineStr">
        <is>
          <t>50:50 (assumed)</t>
        </is>
      </c>
      <c r="N77" s="21" t="n">
        <v>792.96</v>
      </c>
      <c r="O77" s="21" t="n">
        <v>1871.19</v>
      </c>
      <c r="P77" s="21" t="n">
        <v>0.10198</v>
      </c>
      <c r="Q77" s="21" t="n">
        <v>0.0008835</v>
      </c>
    </row>
    <row r="78" ht="15" customHeight="1">
      <c r="A78" s="24" t="n">
        <v>64</v>
      </c>
      <c r="B78" s="24" t="n">
        <v>200</v>
      </c>
      <c r="C78" s="24" t="n">
        <v>3.0303</v>
      </c>
      <c r="D78" s="24" t="n">
        <v>16.5</v>
      </c>
      <c r="E78" s="24" t="inlineStr">
        <is>
          <t>TBD</t>
        </is>
      </c>
      <c r="F78" s="24" t="inlineStr">
        <is>
          <t>0.25 (tentative)</t>
        </is>
      </c>
      <c r="G78" s="24" t="inlineStr">
        <is>
          <t>TBD (reruns in progress)</t>
        </is>
      </c>
      <c r="H78" s="24" t="n">
        <v>20000</v>
      </c>
      <c r="I78" s="21" t="inlineStr">
        <is>
          <t>Ready</t>
        </is>
      </c>
      <c r="J78" s="9" t="inlineStr">
        <is>
          <t>Properties fully sourced 2026-10-07 — Al2O3: rho/Cp universal literature std, k=40 nanofluid-CFD convention. MWCNT: rho/Cp cross-checked (2+ sources), k=3000 is individual-tube/field-convention value (bulk bundle k~200 W/mK also documented — flagged, not an error).</t>
        </is>
      </c>
      <c r="K78" s="24" t="inlineStr">
        <is>
          <t>Al2O3-MWCNT</t>
        </is>
      </c>
      <c r="L78" s="24" t="n">
        <v>2</v>
      </c>
      <c r="M78" s="24" t="inlineStr">
        <is>
          <t>50:50 (assumed)</t>
        </is>
      </c>
      <c r="N78" s="21" t="n">
        <v>792.96</v>
      </c>
      <c r="O78" s="21" t="n">
        <v>1871.19</v>
      </c>
      <c r="P78" s="21" t="n">
        <v>0.10198</v>
      </c>
      <c r="Q78" s="21" t="n">
        <v>0.0008835</v>
      </c>
    </row>
    <row r="79" ht="15" customHeight="1">
      <c r="A79" s="24" t="n">
        <v>65</v>
      </c>
      <c r="B79" s="24" t="n">
        <v>200</v>
      </c>
      <c r="C79" s="24" t="n">
        <v>3.0303</v>
      </c>
      <c r="D79" s="24" t="n">
        <v>16.5</v>
      </c>
      <c r="E79" s="24" t="inlineStr">
        <is>
          <t>TBD</t>
        </is>
      </c>
      <c r="F79" s="24" t="inlineStr">
        <is>
          <t>0.25 (tentative)</t>
        </is>
      </c>
      <c r="G79" s="24" t="inlineStr">
        <is>
          <t>TBD (reruns in progress)</t>
        </is>
      </c>
      <c r="H79" s="24" t="n">
        <v>25000</v>
      </c>
      <c r="I79" s="21" t="inlineStr">
        <is>
          <t>Ready</t>
        </is>
      </c>
      <c r="J79" s="9" t="inlineStr">
        <is>
          <t>Properties fully sourced 2026-10-07 — Al2O3: rho/Cp universal literature std, k=40 nanofluid-CFD convention. MWCNT: rho/Cp cross-checked (2+ sources), k=3000 is individual-tube/field-convention value (bulk bundle k~200 W/mK also documented — flagged, not an error).</t>
        </is>
      </c>
      <c r="K79" s="24" t="inlineStr">
        <is>
          <t>Al2O3-MWCNT</t>
        </is>
      </c>
      <c r="L79" s="24" t="n">
        <v>2</v>
      </c>
      <c r="M79" s="24" t="inlineStr">
        <is>
          <t>50:50 (assumed)</t>
        </is>
      </c>
      <c r="N79" s="21" t="n">
        <v>792.96</v>
      </c>
      <c r="O79" s="21" t="n">
        <v>1871.19</v>
      </c>
      <c r="P79" s="21" t="n">
        <v>0.10198</v>
      </c>
      <c r="Q79" s="21" t="n">
        <v>0.0008835</v>
      </c>
    </row>
    <row r="80" ht="15" customHeight="1">
      <c r="A80" s="24" t="n">
        <v>66</v>
      </c>
      <c r="B80" s="24" t="n">
        <v>200</v>
      </c>
      <c r="C80" s="24" t="n">
        <v>3.0303</v>
      </c>
      <c r="D80" s="24" t="n">
        <v>16.5</v>
      </c>
      <c r="E80" s="24" t="inlineStr">
        <is>
          <t>TBD</t>
        </is>
      </c>
      <c r="F80" s="24" t="inlineStr">
        <is>
          <t>0.25 (tentative)</t>
        </is>
      </c>
      <c r="G80" s="24" t="inlineStr">
        <is>
          <t>TBD (reruns in progress)</t>
        </is>
      </c>
      <c r="H80" s="24" t="n">
        <v>30000</v>
      </c>
      <c r="I80" s="21" t="inlineStr">
        <is>
          <t>Ready</t>
        </is>
      </c>
      <c r="J80" s="9" t="inlineStr">
        <is>
          <t>Properties fully sourced 2026-10-07 — Al2O3: rho/Cp universal literature std, k=40 nanofluid-CFD convention. MWCNT: rho/Cp cross-checked (2+ sources), k=3000 is individual-tube/field-convention value (bulk bundle k~200 W/mK also documented — flagged, not an error).</t>
        </is>
      </c>
      <c r="K80" s="24" t="inlineStr">
        <is>
          <t>Al2O3-MWCNT</t>
        </is>
      </c>
      <c r="L80" s="24" t="n">
        <v>2</v>
      </c>
      <c r="M80" s="24" t="inlineStr">
        <is>
          <t>50:50 (assumed)</t>
        </is>
      </c>
      <c r="N80" s="21" t="n">
        <v>792.96</v>
      </c>
      <c r="O80" s="21" t="n">
        <v>1871.19</v>
      </c>
      <c r="P80" s="21" t="n">
        <v>0.10198</v>
      </c>
      <c r="Q80" s="21" t="n">
        <v>0.0008835</v>
      </c>
    </row>
    <row r="81" ht="15" customHeight="1">
      <c r="A81" s="24" t="n">
        <v>67</v>
      </c>
      <c r="B81" s="24" t="n">
        <v>200</v>
      </c>
      <c r="C81" s="24" t="n">
        <v>3.0303</v>
      </c>
      <c r="D81" s="24" t="n">
        <v>16.5</v>
      </c>
      <c r="E81" s="24" t="inlineStr">
        <is>
          <t>TBD</t>
        </is>
      </c>
      <c r="F81" s="24" t="inlineStr">
        <is>
          <t>0.25 (tentative)</t>
        </is>
      </c>
      <c r="G81" s="24" t="inlineStr">
        <is>
          <t>TBD (reruns in progress)</t>
        </is>
      </c>
      <c r="H81" s="24" t="n">
        <v>5000</v>
      </c>
      <c r="I81" s="21" t="inlineStr">
        <is>
          <t>Ready</t>
        </is>
      </c>
      <c r="J81" s="9" t="inlineStr">
        <is>
          <t>Properties fully sourced 2026-10-07 — Ag: fully standard, no disagreement. MgO: rho settled (3580); Cp/k taken from Ag-MgO-specific literature (955/45) — an alternate published set (879/30) also exists, flagged in Parameter Legend.</t>
        </is>
      </c>
      <c r="K81" s="24" t="inlineStr">
        <is>
          <t>Ag-MgO</t>
        </is>
      </c>
      <c r="L81" s="24" t="n">
        <v>2</v>
      </c>
      <c r="M81" s="24" t="inlineStr">
        <is>
          <t>50:50 (assumed)</t>
        </is>
      </c>
      <c r="N81" s="21" t="n">
        <v>873.0599999999999</v>
      </c>
      <c r="O81" s="21" t="n">
        <v>1713.01</v>
      </c>
      <c r="P81" s="21" t="n">
        <v>0.10198</v>
      </c>
      <c r="Q81" s="21" t="n">
        <v>0.0008835</v>
      </c>
    </row>
    <row r="82" ht="15" customHeight="1">
      <c r="A82" s="24" t="n">
        <v>68</v>
      </c>
      <c r="B82" s="24" t="n">
        <v>200</v>
      </c>
      <c r="C82" s="24" t="n">
        <v>3.0303</v>
      </c>
      <c r="D82" s="24" t="n">
        <v>16.5</v>
      </c>
      <c r="E82" s="24" t="inlineStr">
        <is>
          <t>TBD</t>
        </is>
      </c>
      <c r="F82" s="24" t="inlineStr">
        <is>
          <t>0.25 (tentative)</t>
        </is>
      </c>
      <c r="G82" s="24" t="inlineStr">
        <is>
          <t>TBD (reruns in progress)</t>
        </is>
      </c>
      <c r="H82" s="24" t="n">
        <v>10000</v>
      </c>
      <c r="I82" s="21" t="inlineStr">
        <is>
          <t>Ready</t>
        </is>
      </c>
      <c r="J82" s="9" t="inlineStr">
        <is>
          <t>Properties fully sourced 2026-10-07 — Ag: fully standard, no disagreement. MgO: rho settled (3580); Cp/k taken from Ag-MgO-specific literature (955/45) — an alternate published set (879/30) also exists, flagged in Parameter Legend.</t>
        </is>
      </c>
      <c r="K82" s="24" t="inlineStr">
        <is>
          <t>Ag-MgO</t>
        </is>
      </c>
      <c r="L82" s="24" t="n">
        <v>2</v>
      </c>
      <c r="M82" s="24" t="inlineStr">
        <is>
          <t>50:50 (assumed)</t>
        </is>
      </c>
      <c r="N82" s="21" t="n">
        <v>873.0599999999999</v>
      </c>
      <c r="O82" s="21" t="n">
        <v>1713.01</v>
      </c>
      <c r="P82" s="21" t="n">
        <v>0.10198</v>
      </c>
      <c r="Q82" s="21" t="n">
        <v>0.0008835</v>
      </c>
    </row>
    <row r="83" ht="15" customHeight="1">
      <c r="A83" s="24" t="n">
        <v>69</v>
      </c>
      <c r="B83" s="24" t="n">
        <v>200</v>
      </c>
      <c r="C83" s="24" t="n">
        <v>3.0303</v>
      </c>
      <c r="D83" s="24" t="n">
        <v>16.5</v>
      </c>
      <c r="E83" s="24" t="inlineStr">
        <is>
          <t>TBD</t>
        </is>
      </c>
      <c r="F83" s="24" t="inlineStr">
        <is>
          <t>0.25 (tentative)</t>
        </is>
      </c>
      <c r="G83" s="24" t="inlineStr">
        <is>
          <t>TBD (reruns in progress)</t>
        </is>
      </c>
      <c r="H83" s="24" t="n">
        <v>15000</v>
      </c>
      <c r="I83" s="21" t="inlineStr">
        <is>
          <t>Ready</t>
        </is>
      </c>
      <c r="J83" s="9" t="inlineStr">
        <is>
          <t>Properties fully sourced 2026-10-07 — Ag: fully standard, no disagreement. MgO: rho settled (3580); Cp/k taken from Ag-MgO-specific literature (955/45) — an alternate published set (879/30) also exists, flagged in Parameter Legend.</t>
        </is>
      </c>
      <c r="K83" s="24" t="inlineStr">
        <is>
          <t>Ag-MgO</t>
        </is>
      </c>
      <c r="L83" s="24" t="n">
        <v>2</v>
      </c>
      <c r="M83" s="24" t="inlineStr">
        <is>
          <t>50:50 (assumed)</t>
        </is>
      </c>
      <c r="N83" s="21" t="n">
        <v>873.0599999999999</v>
      </c>
      <c r="O83" s="21" t="n">
        <v>1713.01</v>
      </c>
      <c r="P83" s="21" t="n">
        <v>0.10198</v>
      </c>
      <c r="Q83" s="21" t="n">
        <v>0.0008835</v>
      </c>
    </row>
    <row r="84" ht="15" customHeight="1">
      <c r="A84" s="24" t="n">
        <v>70</v>
      </c>
      <c r="B84" s="24" t="n">
        <v>200</v>
      </c>
      <c r="C84" s="24" t="n">
        <v>3.0303</v>
      </c>
      <c r="D84" s="24" t="n">
        <v>16.5</v>
      </c>
      <c r="E84" s="24" t="inlineStr">
        <is>
          <t>TBD</t>
        </is>
      </c>
      <c r="F84" s="24" t="inlineStr">
        <is>
          <t>0.25 (tentative)</t>
        </is>
      </c>
      <c r="G84" s="24" t="inlineStr">
        <is>
          <t>TBD (reruns in progress)</t>
        </is>
      </c>
      <c r="H84" s="24" t="n">
        <v>20000</v>
      </c>
      <c r="I84" s="21" t="inlineStr">
        <is>
          <t>Ready</t>
        </is>
      </c>
      <c r="J84" s="9" t="inlineStr">
        <is>
          <t>Properties fully sourced 2026-10-07 — Ag: fully standard, no disagreement. MgO: rho settled (3580); Cp/k taken from Ag-MgO-specific literature (955/45) — an alternate published set (879/30) also exists, flagged in Parameter Legend.</t>
        </is>
      </c>
      <c r="K84" s="24" t="inlineStr">
        <is>
          <t>Ag-MgO</t>
        </is>
      </c>
      <c r="L84" s="24" t="n">
        <v>2</v>
      </c>
      <c r="M84" s="24" t="inlineStr">
        <is>
          <t>50:50 (assumed)</t>
        </is>
      </c>
      <c r="N84" s="21" t="n">
        <v>873.0599999999999</v>
      </c>
      <c r="O84" s="21" t="n">
        <v>1713.01</v>
      </c>
      <c r="P84" s="21" t="n">
        <v>0.10198</v>
      </c>
      <c r="Q84" s="21" t="n">
        <v>0.0008835</v>
      </c>
    </row>
    <row r="85" ht="15" customHeight="1">
      <c r="A85" s="24" t="n">
        <v>71</v>
      </c>
      <c r="B85" s="24" t="n">
        <v>200</v>
      </c>
      <c r="C85" s="24" t="n">
        <v>3.0303</v>
      </c>
      <c r="D85" s="24" t="n">
        <v>16.5</v>
      </c>
      <c r="E85" s="24" t="inlineStr">
        <is>
          <t>TBD</t>
        </is>
      </c>
      <c r="F85" s="24" t="inlineStr">
        <is>
          <t>0.25 (tentative)</t>
        </is>
      </c>
      <c r="G85" s="24" t="inlineStr">
        <is>
          <t>TBD (reruns in progress)</t>
        </is>
      </c>
      <c r="H85" s="24" t="n">
        <v>25000</v>
      </c>
      <c r="I85" s="21" t="inlineStr">
        <is>
          <t>Ready</t>
        </is>
      </c>
      <c r="J85" s="9" t="inlineStr">
        <is>
          <t>Properties fully sourced 2026-10-07 — Ag: fully standard, no disagreement. MgO: rho settled (3580); Cp/k taken from Ag-MgO-specific literature (955/45) — an alternate published set (879/30) also exists, flagged in Parameter Legend.</t>
        </is>
      </c>
      <c r="K85" s="24" t="inlineStr">
        <is>
          <t>Ag-MgO</t>
        </is>
      </c>
      <c r="L85" s="24" t="n">
        <v>2</v>
      </c>
      <c r="M85" s="24" t="inlineStr">
        <is>
          <t>50:50 (assumed)</t>
        </is>
      </c>
      <c r="N85" s="21" t="n">
        <v>873.0599999999999</v>
      </c>
      <c r="O85" s="21" t="n">
        <v>1713.01</v>
      </c>
      <c r="P85" s="21" t="n">
        <v>0.10198</v>
      </c>
      <c r="Q85" s="21" t="n">
        <v>0.0008835</v>
      </c>
    </row>
    <row r="86" ht="15" customHeight="1">
      <c r="A86" s="24" t="n">
        <v>72</v>
      </c>
      <c r="B86" s="24" t="n">
        <v>200</v>
      </c>
      <c r="C86" s="24" t="n">
        <v>3.0303</v>
      </c>
      <c r="D86" s="24" t="n">
        <v>16.5</v>
      </c>
      <c r="E86" s="24" t="inlineStr">
        <is>
          <t>TBD</t>
        </is>
      </c>
      <c r="F86" s="24" t="inlineStr">
        <is>
          <t>0.25 (tentative)</t>
        </is>
      </c>
      <c r="G86" s="24" t="inlineStr">
        <is>
          <t>TBD (reruns in progress)</t>
        </is>
      </c>
      <c r="H86" s="24" t="n">
        <v>30000</v>
      </c>
      <c r="I86" s="21" t="inlineStr">
        <is>
          <t>Ready</t>
        </is>
      </c>
      <c r="J86" s="9" t="inlineStr">
        <is>
          <t>Properties fully sourced 2026-10-07 — Ag: fully standard, no disagreement. MgO: rho settled (3580); Cp/k taken from Ag-MgO-specific literature (955/45) — an alternate published set (879/30) also exists, flagged in Parameter Legend.</t>
        </is>
      </c>
      <c r="K86" s="24" t="inlineStr">
        <is>
          <t>Ag-MgO</t>
        </is>
      </c>
      <c r="L86" s="24" t="n">
        <v>2</v>
      </c>
      <c r="M86" s="24" t="inlineStr">
        <is>
          <t>50:50 (assumed)</t>
        </is>
      </c>
      <c r="N86" s="21" t="n">
        <v>873.0599999999999</v>
      </c>
      <c r="O86" s="21" t="n">
        <v>1713.01</v>
      </c>
      <c r="P86" s="21" t="n">
        <v>0.10198</v>
      </c>
      <c r="Q86" s="21" t="n">
        <v>0.0008835</v>
      </c>
    </row>
    <row r="87" ht="18" customHeight="1">
      <c r="A87" s="10" t="inlineStr">
        <is>
          <t>Result: all three nanofluids are now data-complete (Fe2O3-GO, Al2O3-MWCNT, Ag-MgO), all at phi=2%, 50:50 split — ready to run once dpo/dti=0.25 and tp/dpo are confirmed from the Stage 3 geometry re-runs (Run 39, Run 54).</t>
        </is>
      </c>
      <c r="B87" s="13" t="n"/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  <c r="P87" s="13" t="n"/>
      <c r="Q87" s="14" t="n"/>
    </row>
    <row r="88">
      <c r="A88" s="3" t="inlineStr">
        <is>
          <t>Summary</t>
        </is>
      </c>
      <c r="B88" s="13" t="n"/>
      <c r="C88" s="13" t="n"/>
      <c r="D88" s="13" t="n"/>
      <c r="E88" s="13" t="n"/>
      <c r="F88" s="13" t="n"/>
      <c r="G88" s="13" t="n"/>
      <c r="H88" s="13" t="n"/>
      <c r="I88" s="13" t="n"/>
      <c r="J88" s="14" t="n"/>
    </row>
    <row r="89">
      <c r="A89" s="7" t="inlineStr">
        <is>
          <t>Total runs (geometry screening): 54 — 6 baseline + 18 Stage 1 (Pt) + 18 Stage 2 (dpo/dti) + 12 Stage 3 (tp/dpo)</t>
        </is>
      </c>
      <c r="B89" s="13" t="n"/>
      <c r="C89" s="13" t="n"/>
      <c r="D89" s="13" t="n"/>
      <c r="E89" s="13" t="n"/>
      <c r="F89" s="13" t="n"/>
      <c r="G89" s="13" t="n"/>
      <c r="H89" s="13" t="n"/>
      <c r="I89" s="13" t="n"/>
      <c r="J89" s="14" t="n"/>
    </row>
    <row r="90">
      <c r="A90" s="7" t="inlineStr">
        <is>
          <t>Done: 52   |   Fixed 2026-10-04 (now Done): 2 (Run 47, Run 52)   |   Remaining (diverged / not run): 2 (Run 39, Run 54)</t>
        </is>
      </c>
      <c r="B90" s="13" t="n"/>
      <c r="C90" s="13" t="n"/>
      <c r="D90" s="13" t="n"/>
      <c r="E90" s="13" t="n"/>
      <c r="F90" s="13" t="n"/>
      <c r="G90" s="13" t="n"/>
      <c r="H90" s="13" t="n"/>
      <c r="I90" s="13" t="n"/>
      <c r="J90" s="14" t="n"/>
    </row>
    <row r="91">
      <c r="A91" s="7" t="inlineStr">
        <is>
          <t>Legend: green = done, yellow = diverged / needs attention, grey = pending</t>
        </is>
      </c>
      <c r="B91" s="13" t="n"/>
      <c r="C91" s="13" t="n"/>
      <c r="D91" s="13" t="n"/>
      <c r="E91" s="13" t="n"/>
      <c r="F91" s="13" t="n"/>
      <c r="G91" s="13" t="n"/>
      <c r="H91" s="13" t="n"/>
      <c r="I91" s="13" t="n"/>
      <c r="J91" s="14" t="n"/>
    </row>
    <row r="92">
      <c r="A92" s="7" t="inlineStr">
        <is>
          <t>Open items: (1) Run 39 — dpo/dti=0.25, tp/dpo=0.05 @ Re=15,000 — still diverged, re-run pending. (2) Run 54 — dpo/dti=0.25, tp/dpo=0.15 @ Re=30,000 — not yet re-run. Both needed before the wall-thickness PEC decision (Grand Output sheet) is final.</t>
        </is>
      </c>
      <c r="B92" s="13" t="n"/>
      <c r="C92" s="13" t="n"/>
      <c r="D92" s="13" t="n"/>
      <c r="E92" s="13" t="n"/>
      <c r="F92" s="13" t="n"/>
      <c r="G92" s="13" t="n"/>
      <c r="H92" s="13" t="n"/>
      <c r="I92" s="13" t="n"/>
      <c r="J92" s="14" t="n"/>
    </row>
  </sheetData>
  <mergeCells count="12">
    <mergeCell ref="A1:J1"/>
    <mergeCell ref="A5:J5"/>
    <mergeCell ref="A32:J32"/>
    <mergeCell ref="A67:Q67"/>
    <mergeCell ref="A31:J31"/>
    <mergeCell ref="A87:Q87"/>
    <mergeCell ref="A53:J53"/>
    <mergeCell ref="A12:J12"/>
    <mergeCell ref="A2:J2"/>
    <mergeCell ref="A68:Q68"/>
    <mergeCell ref="A52:J52"/>
    <mergeCell ref="A51:J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8" customWidth="1" min="4" max="4"/>
    <col width="11" customWidth="1" min="5" max="5"/>
    <col width="11" customWidth="1" min="6" max="6"/>
    <col width="11" customWidth="1" min="7" max="7"/>
    <col width="13" customWidth="1" min="8" max="8"/>
    <col width="13" customWidth="1" min="9" max="9"/>
    <col width="13" customWidth="1" min="10" max="10"/>
    <col width="40" customWidth="1" min="11" max="11"/>
  </cols>
  <sheetData>
    <row r="1" ht="20" customHeight="1">
      <c r="A1" s="26" t="inlineStr">
        <is>
          <t>Grand Output — All 30 Promoter-Size + Wall-Thickness Runs (d_po/d_ti=0.25 block shared between both comparisons)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4" t="n"/>
    </row>
    <row r="3" ht="18" customHeight="1">
      <c r="A3" s="27" t="inlineStr">
        <is>
          <t>Section 1 — Raw Fluent Output (all 30 cases)</t>
        </is>
      </c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4" t="n"/>
    </row>
    <row r="4" ht="28" customHeight="1">
      <c r="A4" s="28" t="inlineStr">
        <is>
          <t>#</t>
        </is>
      </c>
      <c r="B4" s="28" t="inlineStr">
        <is>
          <t>dpo/dti</t>
        </is>
      </c>
      <c r="C4" s="28" t="inlineStr">
        <is>
          <t>tp/dpo</t>
        </is>
      </c>
      <c r="D4" s="28" t="inlineStr">
        <is>
          <t>Re</t>
        </is>
      </c>
      <c r="E4" s="28" t="inlineStr">
        <is>
          <t>t_out (K)</t>
        </is>
      </c>
      <c r="F4" s="28" t="inlineStr">
        <is>
          <t>t_wall (K)</t>
        </is>
      </c>
      <c r="G4" s="28" t="inlineStr">
        <is>
          <t>mdot_in (kg/s)</t>
        </is>
      </c>
      <c r="H4" s="28" t="inlineStr">
        <is>
          <t>tau_wall (Pa)</t>
        </is>
      </c>
      <c r="I4" s="28" t="inlineStr">
        <is>
          <t>wall_heat_flux</t>
        </is>
      </c>
      <c r="J4" s="28" t="inlineStr">
        <is>
          <t>Status</t>
        </is>
      </c>
      <c r="K4" s="28" t="inlineStr">
        <is>
          <t>Notes</t>
        </is>
      </c>
    </row>
    <row r="5" ht="15" customHeight="1">
      <c r="A5" s="42" t="n">
        <v>1</v>
      </c>
      <c r="B5" s="42" t="n">
        <v>0.15</v>
      </c>
      <c r="C5" s="42" t="n">
        <v>0.05</v>
      </c>
      <c r="D5" s="42" t="n">
        <v>5000</v>
      </c>
      <c r="E5" s="42" t="n">
        <v>538.22</v>
      </c>
      <c r="F5" s="42" t="n">
        <v>792.9</v>
      </c>
      <c r="G5" s="42" t="n">
        <v>0.2077</v>
      </c>
      <c r="H5" s="42" t="n">
        <v>0.03421</v>
      </c>
      <c r="I5" s="42" t="n">
        <v>37764.9</v>
      </c>
      <c r="J5" s="42" t="inlineStr">
        <is>
          <t>Done</t>
        </is>
      </c>
      <c r="K5" s="43" t="inlineStr"/>
    </row>
    <row r="6" ht="15" customHeight="1">
      <c r="A6" s="42" t="n">
        <v>2</v>
      </c>
      <c r="B6" s="42" t="n">
        <v>0.15</v>
      </c>
      <c r="C6" s="42" t="n">
        <v>0.05</v>
      </c>
      <c r="D6" s="42" t="n">
        <v>10000</v>
      </c>
      <c r="E6" s="42" t="n">
        <v>519.16</v>
      </c>
      <c r="F6" s="42" t="n">
        <v>682.76</v>
      </c>
      <c r="G6" s="42" t="n">
        <v>0.4154</v>
      </c>
      <c r="H6" s="42" t="n">
        <v>0.10793</v>
      </c>
      <c r="I6" s="42" t="n">
        <v>37764.9</v>
      </c>
      <c r="J6" s="42" t="inlineStr">
        <is>
          <t>Done</t>
        </is>
      </c>
      <c r="K6" s="43" t="inlineStr"/>
    </row>
    <row r="7" ht="15" customHeight="1">
      <c r="A7" s="42" t="n">
        <v>3</v>
      </c>
      <c r="B7" s="42" t="n">
        <v>0.15</v>
      </c>
      <c r="C7" s="42" t="n">
        <v>0.05</v>
      </c>
      <c r="D7" s="42" t="n">
        <v>15000</v>
      </c>
      <c r="E7" s="42" t="n">
        <v>512.79</v>
      </c>
      <c r="F7" s="42" t="n">
        <v>633.13</v>
      </c>
      <c r="G7" s="42" t="n">
        <v>0.6231</v>
      </c>
      <c r="H7" s="42" t="n">
        <v>0.21607</v>
      </c>
      <c r="I7" s="42" t="n">
        <v>37764.9</v>
      </c>
      <c r="J7" s="42" t="inlineStr">
        <is>
          <t>Done</t>
        </is>
      </c>
      <c r="K7" s="43" t="inlineStr"/>
    </row>
    <row r="8" ht="15" customHeight="1">
      <c r="A8" s="42" t="n">
        <v>4</v>
      </c>
      <c r="B8" s="42" t="n">
        <v>0.15</v>
      </c>
      <c r="C8" s="42" t="n">
        <v>0.05</v>
      </c>
      <c r="D8" s="42" t="n">
        <v>20000</v>
      </c>
      <c r="E8" s="42" t="n">
        <v>509.59</v>
      </c>
      <c r="F8" s="42" t="n">
        <v>606.1799999999999</v>
      </c>
      <c r="G8" s="42" t="n">
        <v>0.8308</v>
      </c>
      <c r="H8" s="42" t="n">
        <v>0.35269</v>
      </c>
      <c r="I8" s="42" t="n">
        <v>37764.9</v>
      </c>
      <c r="J8" s="42" t="inlineStr">
        <is>
          <t>Done</t>
        </is>
      </c>
      <c r="K8" s="43" t="inlineStr"/>
    </row>
    <row r="9" ht="15" customHeight="1">
      <c r="A9" s="42" t="n">
        <v>5</v>
      </c>
      <c r="B9" s="42" t="n">
        <v>0.15</v>
      </c>
      <c r="C9" s="42" t="n">
        <v>0.05</v>
      </c>
      <c r="D9" s="42" t="n">
        <v>25000</v>
      </c>
      <c r="E9" s="42" t="n">
        <v>507.68</v>
      </c>
      <c r="F9" s="42" t="n">
        <v>589.62</v>
      </c>
      <c r="G9" s="42" t="n">
        <v>1.0384</v>
      </c>
      <c r="H9" s="42" t="n">
        <v>0.51334</v>
      </c>
      <c r="I9" s="42" t="n">
        <v>37764.9</v>
      </c>
      <c r="J9" s="42" t="inlineStr">
        <is>
          <t>Done</t>
        </is>
      </c>
      <c r="K9" s="43" t="inlineStr"/>
    </row>
    <row r="10" ht="15" customHeight="1">
      <c r="A10" s="42" t="n">
        <v>6</v>
      </c>
      <c r="B10" s="42" t="n">
        <v>0.15</v>
      </c>
      <c r="C10" s="42" t="n">
        <v>0.05</v>
      </c>
      <c r="D10" s="42" t="n">
        <v>30000</v>
      </c>
      <c r="E10" s="42" t="n">
        <v>506.4</v>
      </c>
      <c r="F10" s="42" t="n">
        <v>578.3</v>
      </c>
      <c r="G10" s="42" t="n">
        <v>1.2461</v>
      </c>
      <c r="H10" s="42" t="n">
        <v>0.69404</v>
      </c>
      <c r="I10" s="42" t="n">
        <v>37764.9</v>
      </c>
      <c r="J10" s="42" t="inlineStr">
        <is>
          <t>Done</t>
        </is>
      </c>
      <c r="K10" s="43" t="inlineStr"/>
    </row>
    <row r="11" ht="15" customHeight="1">
      <c r="A11" s="42" t="n">
        <v>7</v>
      </c>
      <c r="B11" s="42" t="n">
        <v>0.2</v>
      </c>
      <c r="C11" s="42" t="n">
        <v>0.05</v>
      </c>
      <c r="D11" s="42" t="n">
        <v>5000</v>
      </c>
      <c r="E11" s="42" t="n">
        <v>538.4</v>
      </c>
      <c r="F11" s="42" t="n">
        <v>782.0599999999999</v>
      </c>
      <c r="G11" s="42" t="n">
        <v>0.2068</v>
      </c>
      <c r="H11" s="42" t="n">
        <v>0.03562</v>
      </c>
      <c r="I11" s="42" t="n">
        <v>37764.9</v>
      </c>
      <c r="J11" s="42" t="inlineStr">
        <is>
          <t>Done</t>
        </is>
      </c>
      <c r="K11" s="43" t="inlineStr"/>
    </row>
    <row r="12" ht="15" customHeight="1">
      <c r="A12" s="42" t="n">
        <v>8</v>
      </c>
      <c r="B12" s="42" t="n">
        <v>0.2</v>
      </c>
      <c r="C12" s="42" t="n">
        <v>0.05</v>
      </c>
      <c r="D12" s="42" t="n">
        <v>10000</v>
      </c>
      <c r="E12" s="42" t="n">
        <v>519.25</v>
      </c>
      <c r="F12" s="42" t="n">
        <v>678.0599999999999</v>
      </c>
      <c r="G12" s="42" t="n">
        <v>0.4136</v>
      </c>
      <c r="H12" s="42" t="n">
        <v>0.11198</v>
      </c>
      <c r="I12" s="42" t="n">
        <v>37764.9</v>
      </c>
      <c r="J12" s="42" t="inlineStr">
        <is>
          <t>Done</t>
        </is>
      </c>
      <c r="K12" s="43" t="inlineStr"/>
    </row>
    <row r="13" ht="15" customHeight="1">
      <c r="A13" s="42" t="n">
        <v>9</v>
      </c>
      <c r="B13" s="42" t="n">
        <v>0.2</v>
      </c>
      <c r="C13" s="42" t="n">
        <v>0.05</v>
      </c>
      <c r="D13" s="42" t="n">
        <v>15000</v>
      </c>
      <c r="E13" s="42" t="n">
        <v>512.84</v>
      </c>
      <c r="F13" s="42" t="n">
        <v>630.3</v>
      </c>
      <c r="G13" s="42" t="n">
        <v>0.6204</v>
      </c>
      <c r="H13" s="42" t="n">
        <v>0.22359</v>
      </c>
      <c r="I13" s="42" t="n">
        <v>37764.9</v>
      </c>
      <c r="J13" s="42" t="inlineStr">
        <is>
          <t>Done</t>
        </is>
      </c>
      <c r="K13" s="43" t="inlineStr"/>
    </row>
    <row r="14" ht="15" customHeight="1">
      <c r="A14" s="42" t="n">
        <v>10</v>
      </c>
      <c r="B14" s="42" t="n">
        <v>0.2</v>
      </c>
      <c r="C14" s="42" t="n">
        <v>0.05</v>
      </c>
      <c r="D14" s="42" t="n">
        <v>20000</v>
      </c>
      <c r="E14" s="42" t="n">
        <v>509.64</v>
      </c>
      <c r="F14" s="42" t="n">
        <v>604.1</v>
      </c>
      <c r="G14" s="42" t="n">
        <v>0.8272</v>
      </c>
      <c r="H14" s="42" t="n">
        <v>0.36497</v>
      </c>
      <c r="I14" s="42" t="n">
        <v>37764.9</v>
      </c>
      <c r="J14" s="42" t="inlineStr">
        <is>
          <t>Done</t>
        </is>
      </c>
      <c r="K14" s="43" t="inlineStr"/>
    </row>
    <row r="15" ht="15" customHeight="1">
      <c r="A15" s="42" t="n">
        <v>11</v>
      </c>
      <c r="B15" s="42" t="n">
        <v>0.2</v>
      </c>
      <c r="C15" s="42" t="n">
        <v>0.05</v>
      </c>
      <c r="D15" s="42" t="n">
        <v>25000</v>
      </c>
      <c r="E15" s="42" t="n">
        <v>507.71</v>
      </c>
      <c r="F15" s="42" t="n">
        <v>587.92</v>
      </c>
      <c r="G15" s="42" t="n">
        <v>1.034</v>
      </c>
      <c r="H15" s="42" t="n">
        <v>0.53154</v>
      </c>
      <c r="I15" s="42" t="n">
        <v>37764.9</v>
      </c>
      <c r="J15" s="42" t="inlineStr">
        <is>
          <t>Done</t>
        </is>
      </c>
      <c r="K15" s="43" t="inlineStr"/>
    </row>
    <row r="16" ht="15" customHeight="1">
      <c r="A16" s="42" t="n">
        <v>12</v>
      </c>
      <c r="B16" s="42" t="n">
        <v>0.2</v>
      </c>
      <c r="C16" s="42" t="n">
        <v>0.05</v>
      </c>
      <c r="D16" s="42" t="n">
        <v>30000</v>
      </c>
      <c r="E16" s="42" t="n">
        <v>506.43</v>
      </c>
      <c r="F16" s="42" t="n">
        <v>576.8099999999999</v>
      </c>
      <c r="G16" s="42" t="n">
        <v>1.2408</v>
      </c>
      <c r="H16" s="42" t="n">
        <v>0.71924</v>
      </c>
      <c r="I16" s="42" t="n">
        <v>37764.9</v>
      </c>
      <c r="J16" s="42" t="inlineStr">
        <is>
          <t>Done</t>
        </is>
      </c>
      <c r="K16" s="43" t="inlineStr"/>
    </row>
    <row r="17" ht="15" customHeight="1">
      <c r="A17" s="42" t="n">
        <v>13</v>
      </c>
      <c r="B17" s="42" t="n">
        <v>0.25</v>
      </c>
      <c r="C17" s="42" t="n">
        <v>0.05</v>
      </c>
      <c r="D17" s="42" t="n">
        <v>5000</v>
      </c>
      <c r="E17" s="42" t="n">
        <v>538.64</v>
      </c>
      <c r="F17" s="42" t="n">
        <v>771.3</v>
      </c>
      <c r="G17" s="42" t="n">
        <v>0.2057</v>
      </c>
      <c r="H17" s="42" t="n">
        <v>0.03751</v>
      </c>
      <c r="I17" s="42" t="n">
        <v>37764.9</v>
      </c>
      <c r="J17" s="42" t="inlineStr">
        <is>
          <t>Done</t>
        </is>
      </c>
      <c r="K17" s="43" t="inlineStr"/>
    </row>
    <row r="18" ht="15" customHeight="1">
      <c r="A18" s="42" t="n">
        <v>14</v>
      </c>
      <c r="B18" s="42" t="n">
        <v>0.25</v>
      </c>
      <c r="C18" s="42" t="n">
        <v>0.05</v>
      </c>
      <c r="D18" s="42" t="n">
        <v>10000</v>
      </c>
      <c r="E18" s="42" t="n">
        <v>511.72</v>
      </c>
      <c r="F18" s="42" t="n">
        <v>665.01</v>
      </c>
      <c r="G18" s="42" t="n">
        <v>0.4113</v>
      </c>
      <c r="H18" s="42" t="n">
        <v>0.13988</v>
      </c>
      <c r="I18" s="42" t="n">
        <v>37764.9</v>
      </c>
      <c r="J18" s="42" t="inlineStr">
        <is>
          <t>Done</t>
        </is>
      </c>
      <c r="K18" s="43" t="inlineStr"/>
    </row>
    <row r="19" ht="15" customHeight="1">
      <c r="A19" s="44" t="n">
        <v>15</v>
      </c>
      <c r="B19" s="44" t="n">
        <v>0.25</v>
      </c>
      <c r="C19" s="44" t="n">
        <v>0.05</v>
      </c>
      <c r="D19" s="44" t="n">
        <v>15000</v>
      </c>
      <c r="E19" s="44" t="inlineStr">
        <is>
          <t>—</t>
        </is>
      </c>
      <c r="F19" s="44" t="inlineStr">
        <is>
          <t>—</t>
        </is>
      </c>
      <c r="G19" s="44" t="inlineStr">
        <is>
          <t>—</t>
        </is>
      </c>
      <c r="H19" s="44" t="inlineStr">
        <is>
          <t>—</t>
        </is>
      </c>
      <c r="I19" s="44" t="inlineStr">
        <is>
          <t>—</t>
        </is>
      </c>
      <c r="J19" s="44" t="inlineStr">
        <is>
          <t>DIVERGED</t>
        </is>
      </c>
      <c r="K19" s="45" t="inlineStr">
        <is>
          <t>Still bad — remaining, not yet re-run</t>
        </is>
      </c>
    </row>
    <row r="20" ht="15" customHeight="1">
      <c r="A20" s="42" t="n">
        <v>16</v>
      </c>
      <c r="B20" s="42" t="n">
        <v>0.25</v>
      </c>
      <c r="C20" s="42" t="n">
        <v>0.05</v>
      </c>
      <c r="D20" s="42" t="n">
        <v>20000</v>
      </c>
      <c r="E20" s="42" t="n">
        <v>509.01</v>
      </c>
      <c r="F20" s="42" t="n">
        <v>599.42</v>
      </c>
      <c r="G20" s="42" t="n">
        <v>0.8227</v>
      </c>
      <c r="H20" s="42" t="n">
        <v>0.42489</v>
      </c>
      <c r="I20" s="42" t="n">
        <v>37764.5</v>
      </c>
      <c r="J20" s="42" t="inlineStr">
        <is>
          <t>Done</t>
        </is>
      </c>
      <c r="K20" s="43" t="inlineStr"/>
    </row>
    <row r="21" ht="15" customHeight="1">
      <c r="A21" s="42" t="n">
        <v>17</v>
      </c>
      <c r="B21" s="42" t="n">
        <v>0.25</v>
      </c>
      <c r="C21" s="42" t="n">
        <v>0.05</v>
      </c>
      <c r="D21" s="42" t="n">
        <v>25000</v>
      </c>
      <c r="E21" s="42" t="n">
        <v>507.69</v>
      </c>
      <c r="F21" s="42" t="n">
        <v>584.53</v>
      </c>
      <c r="G21" s="42" t="n">
        <v>1.0283</v>
      </c>
      <c r="H21" s="42" t="n">
        <v>0.59145</v>
      </c>
      <c r="I21" s="42" t="n">
        <v>37765</v>
      </c>
      <c r="J21" s="42" t="inlineStr">
        <is>
          <t>Done</t>
        </is>
      </c>
      <c r="K21" s="43" t="inlineStr"/>
    </row>
    <row r="22" ht="15" customHeight="1">
      <c r="A22" s="42" t="n">
        <v>18</v>
      </c>
      <c r="B22" s="42" t="n">
        <v>0.25</v>
      </c>
      <c r="C22" s="42" t="n">
        <v>0.05</v>
      </c>
      <c r="D22" s="42" t="n">
        <v>30000</v>
      </c>
      <c r="E22" s="42" t="n">
        <v>506.39</v>
      </c>
      <c r="F22" s="42" t="n">
        <v>574.24</v>
      </c>
      <c r="G22" s="42" t="n">
        <v>1.234</v>
      </c>
      <c r="H22" s="42" t="n">
        <v>0.77407</v>
      </c>
      <c r="I22" s="42" t="n">
        <v>37764.9</v>
      </c>
      <c r="J22" s="42" t="inlineStr">
        <is>
          <t>Done</t>
        </is>
      </c>
      <c r="K22" s="43" t="inlineStr"/>
    </row>
    <row r="23" ht="15" customHeight="1">
      <c r="A23" s="42" t="n">
        <v>19</v>
      </c>
      <c r="B23" s="42" t="n">
        <v>0.25</v>
      </c>
      <c r="C23" s="42" t="n">
        <v>0.1</v>
      </c>
      <c r="D23" s="42" t="n">
        <v>5000</v>
      </c>
      <c r="E23" s="42" t="n">
        <v>539.17</v>
      </c>
      <c r="F23" s="42" t="n">
        <v>772.3</v>
      </c>
      <c r="G23" s="42" t="n">
        <v>0.2028</v>
      </c>
      <c r="H23" s="42" t="n">
        <v>0.03744</v>
      </c>
      <c r="I23" s="42" t="n">
        <v>37764.9</v>
      </c>
      <c r="J23" s="42" t="inlineStr">
        <is>
          <t>Done</t>
        </is>
      </c>
      <c r="K23" s="43" t="inlineStr"/>
    </row>
    <row r="24" ht="15" customHeight="1">
      <c r="A24" s="42" t="n">
        <v>20</v>
      </c>
      <c r="B24" s="42" t="n">
        <v>0.25</v>
      </c>
      <c r="C24" s="42" t="n">
        <v>0.1</v>
      </c>
      <c r="D24" s="42" t="n">
        <v>10000</v>
      </c>
      <c r="E24" s="42" t="n">
        <v>519.63</v>
      </c>
      <c r="F24" s="42" t="n">
        <v>673.22</v>
      </c>
      <c r="G24" s="42" t="n">
        <v>0.4057</v>
      </c>
      <c r="H24" s="42" t="n">
        <v>0.11728</v>
      </c>
      <c r="I24" s="42" t="n">
        <v>37764.9</v>
      </c>
      <c r="J24" s="42" t="inlineStr">
        <is>
          <t>Done</t>
        </is>
      </c>
      <c r="K24" s="43" t="inlineStr"/>
    </row>
    <row r="25" ht="15" customHeight="1">
      <c r="A25" s="42" t="n">
        <v>21</v>
      </c>
      <c r="B25" s="42" t="n">
        <v>0.25</v>
      </c>
      <c r="C25" s="42" t="n">
        <v>0.1</v>
      </c>
      <c r="D25" s="42" t="n">
        <v>15000</v>
      </c>
      <c r="E25" s="42" t="n">
        <v>511.75</v>
      </c>
      <c r="F25" s="42" t="n">
        <v>622.35</v>
      </c>
      <c r="G25" s="42" t="n">
        <v>0.6085</v>
      </c>
      <c r="H25" s="42" t="n">
        <v>0.27748</v>
      </c>
      <c r="I25" s="42" t="n">
        <v>37764.5</v>
      </c>
      <c r="J25" s="42" t="inlineStr">
        <is>
          <t>Done</t>
        </is>
      </c>
      <c r="K25" s="43" t="inlineStr"/>
    </row>
    <row r="26" ht="15" customHeight="1">
      <c r="A26" s="42" t="n">
        <v>22</v>
      </c>
      <c r="B26" s="42" t="n">
        <v>0.25</v>
      </c>
      <c r="C26" s="42" t="n">
        <v>0.1</v>
      </c>
      <c r="D26" s="42" t="n">
        <v>20000</v>
      </c>
      <c r="E26" s="42" t="n">
        <v>509.82</v>
      </c>
      <c r="F26" s="42" t="n">
        <v>599.35</v>
      </c>
      <c r="G26" s="42" t="n">
        <v>0.8113</v>
      </c>
      <c r="H26" s="42" t="n">
        <v>0.41921</v>
      </c>
      <c r="I26" s="42" t="n">
        <v>37764.8</v>
      </c>
      <c r="J26" s="42" t="inlineStr">
        <is>
          <t>Done</t>
        </is>
      </c>
      <c r="K26" s="43" t="inlineStr"/>
    </row>
    <row r="27" ht="15" customHeight="1">
      <c r="A27" s="42" t="n">
        <v>23</v>
      </c>
      <c r="B27" s="42" t="n">
        <v>0.25</v>
      </c>
      <c r="C27" s="42" t="n">
        <v>0.1</v>
      </c>
      <c r="D27" s="42" t="n">
        <v>25000</v>
      </c>
      <c r="E27" s="42" t="n">
        <v>507.86</v>
      </c>
      <c r="F27" s="42" t="n">
        <v>586.09</v>
      </c>
      <c r="G27" s="42" t="n">
        <v>1.0142</v>
      </c>
      <c r="H27" s="42" t="n">
        <v>0.55332</v>
      </c>
      <c r="I27" s="42" t="n">
        <v>37764.9</v>
      </c>
      <c r="J27" s="42" t="inlineStr">
        <is>
          <t>FIXED</t>
        </is>
      </c>
      <c r="K27" s="43" t="inlineStr">
        <is>
          <t>Re-run 2026-10-04: transient (50 steps, dt=1e-4s) then Steady; converged cleanly</t>
        </is>
      </c>
    </row>
    <row r="28" ht="15" customHeight="1">
      <c r="A28" s="42" t="n">
        <v>24</v>
      </c>
      <c r="B28" s="42" t="n">
        <v>0.25</v>
      </c>
      <c r="C28" s="42" t="n">
        <v>0.1</v>
      </c>
      <c r="D28" s="42" t="n">
        <v>30000</v>
      </c>
      <c r="E28" s="42" t="n">
        <v>506.54</v>
      </c>
      <c r="F28" s="42" t="n">
        <v>573.4</v>
      </c>
      <c r="G28" s="42" t="n">
        <v>1.217</v>
      </c>
      <c r="H28" s="42" t="n">
        <v>0.80392</v>
      </c>
      <c r="I28" s="42" t="n">
        <v>37765</v>
      </c>
      <c r="J28" s="42" t="inlineStr">
        <is>
          <t>Done</t>
        </is>
      </c>
      <c r="K28" s="43" t="inlineStr"/>
    </row>
    <row r="29" ht="15" customHeight="1">
      <c r="A29" s="42" t="n">
        <v>25</v>
      </c>
      <c r="B29" s="42" t="n">
        <v>0.25</v>
      </c>
      <c r="C29" s="42" t="n">
        <v>0.15</v>
      </c>
      <c r="D29" s="42" t="n">
        <v>5000</v>
      </c>
      <c r="E29" s="42" t="n">
        <v>539.66</v>
      </c>
      <c r="F29" s="42" t="n">
        <v>772.28</v>
      </c>
      <c r="G29" s="42" t="n">
        <v>0.2003</v>
      </c>
      <c r="H29" s="42" t="n">
        <v>0.03745</v>
      </c>
      <c r="I29" s="42" t="n">
        <v>37764.9</v>
      </c>
      <c r="J29" s="42" t="inlineStr">
        <is>
          <t>Done</t>
        </is>
      </c>
      <c r="K29" s="43" t="inlineStr"/>
    </row>
    <row r="30" ht="15" customHeight="1">
      <c r="A30" s="42" t="n">
        <v>26</v>
      </c>
      <c r="B30" s="42" t="n">
        <v>0.25</v>
      </c>
      <c r="C30" s="42" t="n">
        <v>0.15</v>
      </c>
      <c r="D30" s="42" t="n">
        <v>10000</v>
      </c>
      <c r="E30" s="42" t="n">
        <v>512.65</v>
      </c>
      <c r="F30" s="42" t="n">
        <v>659.64</v>
      </c>
      <c r="G30" s="42" t="n">
        <v>0.4007</v>
      </c>
      <c r="H30" s="42" t="n">
        <v>0.17827</v>
      </c>
      <c r="I30" s="42" t="n">
        <v>37764.8</v>
      </c>
      <c r="J30" s="42" t="inlineStr">
        <is>
          <t>Done</t>
        </is>
      </c>
      <c r="K30" s="43" t="inlineStr"/>
    </row>
    <row r="31" ht="15" customHeight="1">
      <c r="A31" s="42" t="n">
        <v>27</v>
      </c>
      <c r="B31" s="42" t="n">
        <v>0.25</v>
      </c>
      <c r="C31" s="42" t="n">
        <v>0.15</v>
      </c>
      <c r="D31" s="42" t="n">
        <v>15000</v>
      </c>
      <c r="E31" s="42" t="n">
        <v>512.8099999999999</v>
      </c>
      <c r="F31" s="42" t="n">
        <v>622.58</v>
      </c>
      <c r="G31" s="42" t="n">
        <v>0.601</v>
      </c>
      <c r="H31" s="42" t="n">
        <v>0.27715</v>
      </c>
      <c r="I31" s="42" t="n">
        <v>37764.5</v>
      </c>
      <c r="J31" s="42" t="inlineStr">
        <is>
          <t>Done</t>
        </is>
      </c>
      <c r="K31" s="43" t="inlineStr"/>
    </row>
    <row r="32" ht="15" customHeight="1">
      <c r="A32" s="42" t="n">
        <v>28</v>
      </c>
      <c r="B32" s="42" t="n">
        <v>0.25</v>
      </c>
      <c r="C32" s="42" t="n">
        <v>0.15</v>
      </c>
      <c r="D32" s="42" t="n">
        <v>20000</v>
      </c>
      <c r="E32" s="42" t="n">
        <v>509.95</v>
      </c>
      <c r="F32" s="42" t="n">
        <v>601.83</v>
      </c>
      <c r="G32" s="42" t="n">
        <v>0.8014</v>
      </c>
      <c r="H32" s="42" t="n">
        <v>0.38019</v>
      </c>
      <c r="I32" s="42" t="n">
        <v>37764.9</v>
      </c>
      <c r="J32" s="42" t="inlineStr">
        <is>
          <t>FIXED</t>
        </is>
      </c>
      <c r="K32" s="43" t="inlineStr">
        <is>
          <t>Re-run 2026-10-04: same transient-then-Steady fix; converged cleanly</t>
        </is>
      </c>
    </row>
    <row r="33" ht="15" customHeight="1">
      <c r="A33" s="42" t="n">
        <v>29</v>
      </c>
      <c r="B33" s="42" t="n">
        <v>0.25</v>
      </c>
      <c r="C33" s="42" t="n">
        <v>0.15</v>
      </c>
      <c r="D33" s="42" t="n">
        <v>25000</v>
      </c>
      <c r="E33" s="42" t="n">
        <v>507.96</v>
      </c>
      <c r="F33" s="42" t="n">
        <v>584.08</v>
      </c>
      <c r="G33" s="42" t="n">
        <v>1.0017</v>
      </c>
      <c r="H33" s="42" t="n">
        <v>0.61978</v>
      </c>
      <c r="I33" s="42" t="n">
        <v>37764.7</v>
      </c>
      <c r="J33" s="42" t="inlineStr">
        <is>
          <t>Done</t>
        </is>
      </c>
      <c r="K33" s="43" t="inlineStr"/>
    </row>
    <row r="34" ht="15" customHeight="1">
      <c r="A34" s="44" t="n">
        <v>30</v>
      </c>
      <c r="B34" s="44" t="n">
        <v>0.25</v>
      </c>
      <c r="C34" s="44" t="n">
        <v>0.15</v>
      </c>
      <c r="D34" s="44" t="n">
        <v>30000</v>
      </c>
      <c r="E34" s="44" t="inlineStr">
        <is>
          <t>—</t>
        </is>
      </c>
      <c r="F34" s="44" t="inlineStr">
        <is>
          <t>—</t>
        </is>
      </c>
      <c r="G34" s="44" t="inlineStr">
        <is>
          <t>—</t>
        </is>
      </c>
      <c r="H34" s="44" t="inlineStr">
        <is>
          <t>—</t>
        </is>
      </c>
      <c r="I34" s="44" t="inlineStr">
        <is>
          <t>—</t>
        </is>
      </c>
      <c r="J34" s="44" t="inlineStr">
        <is>
          <t>NOT RUN</t>
        </is>
      </c>
      <c r="K34" s="45" t="inlineStr">
        <is>
          <t>No data in this export — remaining, not yet re-run</t>
        </is>
      </c>
    </row>
    <row r="36" ht="28" customHeight="1">
      <c r="A36" s="33" t="inlineStr">
        <is>
          <t>Note on p_out: shows ~500 K instead of a small Pa value for every case — known report-definition mix-up; real outlet BC is gauge 0 Pa. Not used in any calculation below.</t>
        </is>
      </c>
      <c r="B36" s="13" t="n"/>
      <c r="C36" s="13" t="n"/>
      <c r="D36" s="13" t="n"/>
      <c r="E36" s="13" t="n"/>
      <c r="F36" s="13" t="n"/>
      <c r="G36" s="13" t="n"/>
      <c r="H36" s="13" t="n"/>
      <c r="I36" s="13" t="n"/>
      <c r="J36" s="13" t="n"/>
      <c r="K36" s="14" t="n"/>
    </row>
    <row r="38" ht="18" customHeight="1">
      <c r="A38" s="27" t="inlineStr">
        <is>
          <t>Section 2 — Promoter-Size Comparison (Stage 2: tp/dpo=0.05 fixed)</t>
        </is>
      </c>
      <c r="B38" s="13" t="n"/>
      <c r="C38" s="13" t="n"/>
      <c r="D38" s="13" t="n"/>
      <c r="E38" s="13" t="n"/>
      <c r="F38" s="13" t="n"/>
      <c r="G38" s="13" t="n"/>
      <c r="H38" s="13" t="n"/>
      <c r="I38" s="13" t="n"/>
      <c r="J38" s="13" t="n"/>
      <c r="K38" s="14" t="n"/>
    </row>
    <row r="39" ht="26" customHeight="1">
      <c r="A39" s="28" t="inlineStr">
        <is>
          <t>Re</t>
        </is>
      </c>
      <c r="B39" s="28" t="inlineStr">
        <is>
          <t>dpo/dti = 0.15</t>
        </is>
      </c>
      <c r="C39" s="28" t="inlineStr">
        <is>
          <t>dpo/dti = 0.2</t>
        </is>
      </c>
      <c r="D39" s="28" t="inlineStr">
        <is>
          <t>dpo/dti = 0.25</t>
        </is>
      </c>
      <c r="E39" s="28" t="inlineStr">
        <is>
          <t>dpo/dti = 0.15</t>
        </is>
      </c>
      <c r="F39" s="28" t="inlineStr">
        <is>
          <t>dpo/dti = 0.2</t>
        </is>
      </c>
      <c r="G39" s="28" t="inlineStr">
        <is>
          <t>dpo/dti = 0.25</t>
        </is>
      </c>
      <c r="H39" s="28" t="inlineStr">
        <is>
          <t>dpo/dti = 0.15</t>
        </is>
      </c>
      <c r="I39" s="28" t="inlineStr">
        <is>
          <t>dpo/dti = 0.2</t>
        </is>
      </c>
      <c r="J39" s="28" t="inlineStr">
        <is>
          <t>dpo/dti = 0.25</t>
        </is>
      </c>
    </row>
    <row r="40">
      <c r="A40" s="42" t="n">
        <v>5000</v>
      </c>
      <c r="B40" s="42" t="n">
        <v>0.96223</v>
      </c>
      <c r="C40" s="42" t="n">
        <v>1.00387</v>
      </c>
      <c r="D40" s="42" t="n">
        <v>1.05945</v>
      </c>
      <c r="E40" s="42" t="n">
        <v>1.20294</v>
      </c>
      <c r="F40" s="42" t="n">
        <v>1.25322</v>
      </c>
      <c r="G40" s="42" t="n">
        <v>1.30761</v>
      </c>
      <c r="H40" s="42" t="n">
        <v>1.21847</v>
      </c>
      <c r="I40" s="42" t="n">
        <v>1.2516</v>
      </c>
      <c r="J40" s="42" t="n">
        <v>1.28268</v>
      </c>
    </row>
    <row r="41">
      <c r="A41" s="42" t="n">
        <v>10000</v>
      </c>
      <c r="B41" s="42" t="n">
        <v>0.89286</v>
      </c>
      <c r="C41" s="42" t="n">
        <v>0.92806</v>
      </c>
      <c r="D41" s="42" t="n">
        <v>1.16817</v>
      </c>
      <c r="E41" s="42" t="n">
        <v>1.09948</v>
      </c>
      <c r="F41" s="42" t="n">
        <v>1.13054</v>
      </c>
      <c r="G41" s="42" t="n">
        <v>1.18763</v>
      </c>
      <c r="H41" s="42" t="n">
        <v>1.1418</v>
      </c>
      <c r="I41" s="42" t="n">
        <v>1.15903</v>
      </c>
      <c r="J41" s="42" t="n">
        <v>1.12766</v>
      </c>
    </row>
    <row r="42">
      <c r="A42" s="42" t="n">
        <v>15000</v>
      </c>
      <c r="B42" s="42" t="n">
        <v>0.86965</v>
      </c>
      <c r="C42" s="42" t="n">
        <v>0.90156</v>
      </c>
      <c r="D42" s="34">
        <f>NA()</f>
        <v/>
      </c>
      <c r="E42" s="42" t="n">
        <v>1.06637</v>
      </c>
      <c r="F42" s="42" t="n">
        <v>1.09106</v>
      </c>
      <c r="G42" s="34">
        <f>NA()</f>
        <v/>
      </c>
      <c r="H42" s="42" t="n">
        <v>1.11719</v>
      </c>
      <c r="I42" s="42" t="n">
        <v>1.12941</v>
      </c>
      <c r="J42" s="34">
        <f>NA()</f>
        <v/>
      </c>
    </row>
    <row r="43">
      <c r="A43" s="42" t="n">
        <v>20000</v>
      </c>
      <c r="B43" s="42" t="n">
        <v>0.88069</v>
      </c>
      <c r="C43" s="42" t="n">
        <v>0.91301</v>
      </c>
      <c r="D43" s="42" t="n">
        <v>1.06595</v>
      </c>
      <c r="E43" s="42" t="n">
        <v>1.07778</v>
      </c>
      <c r="F43" s="42" t="n">
        <v>1.10065</v>
      </c>
      <c r="G43" s="42" t="n">
        <v>1.15052</v>
      </c>
      <c r="H43" s="42" t="n">
        <v>1.1244</v>
      </c>
      <c r="I43" s="42" t="n">
        <v>1.13455</v>
      </c>
      <c r="J43" s="42" t="n">
        <v>1.12628</v>
      </c>
    </row>
    <row r="44">
      <c r="A44" s="42" t="n">
        <v>25000</v>
      </c>
      <c r="B44" s="42" t="n">
        <v>0.90709</v>
      </c>
      <c r="C44" s="42" t="n">
        <v>0.94098</v>
      </c>
      <c r="D44" s="42" t="n">
        <v>1.04956</v>
      </c>
      <c r="E44" s="42" t="n">
        <v>1.08219</v>
      </c>
      <c r="F44" s="42" t="n">
        <v>1.10437</v>
      </c>
      <c r="G44" s="42" t="n">
        <v>1.15066</v>
      </c>
      <c r="H44" s="42" t="n">
        <v>1.11794</v>
      </c>
      <c r="I44" s="42" t="n">
        <v>1.12699</v>
      </c>
      <c r="J44" s="42" t="n">
        <v>1.13225</v>
      </c>
    </row>
    <row r="45">
      <c r="A45" s="42" t="n">
        <v>30000</v>
      </c>
      <c r="B45" s="42" t="n">
        <v>0.9241</v>
      </c>
      <c r="C45" s="42" t="n">
        <v>0.95941</v>
      </c>
      <c r="D45" s="42" t="n">
        <v>1.03505</v>
      </c>
      <c r="E45" s="42" t="n">
        <v>1.08203</v>
      </c>
      <c r="F45" s="42" t="n">
        <v>1.10424</v>
      </c>
      <c r="G45" s="42" t="n">
        <v>1.14381</v>
      </c>
      <c r="H45" s="42" t="n">
        <v>1.11088</v>
      </c>
      <c r="I45" s="42" t="n">
        <v>1.1196</v>
      </c>
      <c r="J45" s="42" t="n">
        <v>1.13075</v>
      </c>
    </row>
    <row r="47">
      <c r="A47" s="43" t="inlineStr">
        <is>
          <t>mean PEC (dpo/dti=0.15)</t>
        </is>
      </c>
      <c r="B47" s="43" t="inlineStr">
        <is>
          <t>1.1384  (6/6 valid)</t>
        </is>
      </c>
    </row>
    <row r="48">
      <c r="A48" s="43" t="inlineStr">
        <is>
          <t>mean PEC (dpo/dti=0.2)</t>
        </is>
      </c>
      <c r="B48" s="43" t="inlineStr">
        <is>
          <t>1.1535  (6/6 valid)</t>
        </is>
      </c>
    </row>
    <row r="49">
      <c r="A49" s="43" t="inlineStr">
        <is>
          <t>mean PEC (dpo/dti=0.25)</t>
        </is>
      </c>
      <c r="B49" s="43" t="inlineStr">
        <is>
          <t>1.1599  (5/6 valid)</t>
        </is>
      </c>
    </row>
    <row r="51" ht="18" customHeight="1">
      <c r="A51" s="27" t="inlineStr">
        <is>
          <t>Section 3 — Wall-Thickness Comparison (Stage 3: dpo/dti=0.25 fixed)</t>
        </is>
      </c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4" t="n"/>
    </row>
    <row r="52" ht="26" customHeight="1">
      <c r="A52" s="28" t="inlineStr">
        <is>
          <t>Re</t>
        </is>
      </c>
      <c r="B52" s="28" t="inlineStr">
        <is>
          <t>tp/dpo = 0.05</t>
        </is>
      </c>
      <c r="C52" s="28" t="inlineStr">
        <is>
          <t>tp/dpo = 0.1</t>
        </is>
      </c>
      <c r="D52" s="28" t="inlineStr">
        <is>
          <t>tp/dpo = 0.15</t>
        </is>
      </c>
      <c r="E52" s="28" t="inlineStr">
        <is>
          <t>tp/dpo = 0.05</t>
        </is>
      </c>
      <c r="F52" s="28" t="inlineStr">
        <is>
          <t>tp/dpo = 0.1</t>
        </is>
      </c>
      <c r="G52" s="28" t="inlineStr">
        <is>
          <t>tp/dpo = 0.15</t>
        </is>
      </c>
      <c r="H52" s="28" t="inlineStr">
        <is>
          <t>tp/dpo = 0.05</t>
        </is>
      </c>
      <c r="I52" s="28" t="inlineStr">
        <is>
          <t>tp/dpo = 0.1</t>
        </is>
      </c>
      <c r="J52" s="28" t="inlineStr">
        <is>
          <t>tp/dpo = 0.15</t>
        </is>
      </c>
    </row>
    <row r="53">
      <c r="A53" s="42" t="n">
        <v>5000</v>
      </c>
      <c r="B53" s="42" t="n">
        <v>1.05945</v>
      </c>
      <c r="C53" s="42" t="n">
        <v>1.06354</v>
      </c>
      <c r="D53" s="42" t="n">
        <v>1.06924</v>
      </c>
      <c r="E53" s="42" t="n">
        <v>1.30761</v>
      </c>
      <c r="F53" s="42" t="n">
        <v>1.30456</v>
      </c>
      <c r="G53" s="42" t="n">
        <v>1.30657</v>
      </c>
      <c r="H53" s="42" t="n">
        <v>1.28268</v>
      </c>
      <c r="I53" s="42" t="n">
        <v>1.27804</v>
      </c>
      <c r="J53" s="42" t="n">
        <v>1.27774</v>
      </c>
    </row>
    <row r="54">
      <c r="A54" s="42" t="n">
        <v>10000</v>
      </c>
      <c r="B54" s="42" t="n">
        <v>1.16817</v>
      </c>
      <c r="C54" s="42" t="n">
        <v>0.97993</v>
      </c>
      <c r="D54" s="42" t="n">
        <v>1.50508</v>
      </c>
      <c r="E54" s="42" t="n">
        <v>1.18763</v>
      </c>
      <c r="F54" s="42" t="n">
        <v>1.16579</v>
      </c>
      <c r="G54" s="42" t="n">
        <v>1.23395</v>
      </c>
      <c r="H54" s="42" t="n">
        <v>1.12766</v>
      </c>
      <c r="I54" s="42" t="n">
        <v>1.17369</v>
      </c>
      <c r="J54" s="42" t="n">
        <v>1.07674</v>
      </c>
    </row>
    <row r="55">
      <c r="A55" s="42" t="n">
        <v>15000</v>
      </c>
      <c r="B55" s="34">
        <f>NA()</f>
        <v/>
      </c>
      <c r="C55" s="42" t="n">
        <v>1.12924</v>
      </c>
      <c r="D55" s="42" t="n">
        <v>1.13328</v>
      </c>
      <c r="E55" s="34">
        <f>NA()</f>
        <v/>
      </c>
      <c r="F55" s="42" t="n">
        <v>1.15911</v>
      </c>
      <c r="G55" s="42" t="n">
        <v>1.16327</v>
      </c>
      <c r="H55" s="34">
        <f>NA()</f>
        <v/>
      </c>
      <c r="I55" s="42" t="n">
        <v>1.11309</v>
      </c>
      <c r="J55" s="42" t="n">
        <v>1.11575</v>
      </c>
    </row>
    <row r="56">
      <c r="A56" s="42" t="n">
        <v>20000</v>
      </c>
      <c r="B56" s="42" t="n">
        <v>1.06595</v>
      </c>
      <c r="C56" s="42" t="n">
        <v>1.05751</v>
      </c>
      <c r="D56" s="42" t="n">
        <v>0.96427</v>
      </c>
      <c r="E56" s="42" t="n">
        <v>1.15052</v>
      </c>
      <c r="F56" s="42" t="n">
        <v>1.15727</v>
      </c>
      <c r="G56" s="42" t="n">
        <v>1.12854</v>
      </c>
      <c r="H56" s="42" t="n">
        <v>1.12628</v>
      </c>
      <c r="I56" s="42" t="n">
        <v>1.1359</v>
      </c>
      <c r="J56" s="42" t="n">
        <v>1.14232</v>
      </c>
    </row>
    <row r="57">
      <c r="A57" s="42" t="n">
        <v>25000</v>
      </c>
      <c r="B57" s="42" t="n">
        <v>1.04956</v>
      </c>
      <c r="C57" s="42" t="n">
        <v>0.98776</v>
      </c>
      <c r="D57" s="42" t="n">
        <v>1.11242</v>
      </c>
      <c r="E57" s="42" t="n">
        <v>1.15066</v>
      </c>
      <c r="F57" s="42" t="n">
        <v>1.13014</v>
      </c>
      <c r="G57" s="42" t="n">
        <v>1.15933</v>
      </c>
      <c r="H57" s="42" t="n">
        <v>1.13225</v>
      </c>
      <c r="I57" s="42" t="n">
        <v>1.13479</v>
      </c>
      <c r="J57" s="42" t="n">
        <v>1.11888</v>
      </c>
    </row>
    <row r="58">
      <c r="A58" s="42" t="n">
        <v>30000</v>
      </c>
      <c r="B58" s="42" t="n">
        <v>1.03505</v>
      </c>
      <c r="C58" s="42" t="n">
        <v>1.08141</v>
      </c>
      <c r="D58" s="34">
        <f>NA()</f>
        <v/>
      </c>
      <c r="E58" s="42" t="n">
        <v>1.14381</v>
      </c>
      <c r="F58" s="42" t="n">
        <v>1.15889</v>
      </c>
      <c r="G58" s="34">
        <f>NA()</f>
        <v/>
      </c>
      <c r="H58" s="42" t="n">
        <v>1.13075</v>
      </c>
      <c r="I58" s="42" t="n">
        <v>1.12905</v>
      </c>
      <c r="J58" s="34">
        <f>NA()</f>
        <v/>
      </c>
    </row>
    <row r="60">
      <c r="A60" s="43" t="inlineStr">
        <is>
          <t>mean PEC (tp/dpo=0.05)</t>
        </is>
      </c>
      <c r="B60" s="43" t="inlineStr">
        <is>
          <t>1.1599  (5/6 valid)</t>
        </is>
      </c>
    </row>
    <row r="61">
      <c r="A61" s="43" t="inlineStr">
        <is>
          <t>mean PEC (tp/dpo=0.1)</t>
        </is>
      </c>
      <c r="B61" s="43" t="inlineStr">
        <is>
          <t>1.1608  (6/6 valid)</t>
        </is>
      </c>
    </row>
    <row r="62">
      <c r="A62" s="43" t="inlineStr">
        <is>
          <t>mean PEC (tp/dpo=0.15)</t>
        </is>
      </c>
      <c r="B62" s="43" t="inlineStr">
        <is>
          <t>1.1463  (5/6 valid)</t>
        </is>
      </c>
    </row>
  </sheetData>
  <mergeCells count="5">
    <mergeCell ref="A3:K3"/>
    <mergeCell ref="A38:K38"/>
    <mergeCell ref="A51:K51"/>
    <mergeCell ref="A36:K36"/>
    <mergeCell ref="A1:K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2026-10-02T02:54:21Z</dcterms:created>
  <dcterms:modified xmlns:dcterms="http://purl.org/dc/terms/" xmlns:xsi="http://www.w3.org/2001/XMLSchema-instance" xsi:type="dcterms:W3CDTF">2026-10-07T08:20:24Z</dcterms:modified>
</cp:coreProperties>
</file>